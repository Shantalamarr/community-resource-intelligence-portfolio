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ml.chartshapes+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kelly\Downloads\"/>
    </mc:Choice>
  </mc:AlternateContent>
  <xr:revisionPtr revIDLastSave="0" documentId="8_{D5745AEE-334C-4C41-AD85-F709975904A0}" xr6:coauthVersionLast="47" xr6:coauthVersionMax="47" xr10:uidLastSave="{00000000-0000-0000-0000-000000000000}"/>
  <bookViews>
    <workbookView xWindow="-120" yWindow="-120" windowWidth="29040" windowHeight="15720" activeTab="1" xr2:uid="{00000000-000D-0000-FFFF-FFFF00000000}"/>
  </bookViews>
  <sheets>
    <sheet name="Pivot_Analysis" sheetId="3" r:id="rId1"/>
    <sheet name="Dashboard" sheetId="6" r:id="rId2"/>
    <sheet name="Sales_Data" sheetId="1" r:id="rId3"/>
  </sheets>
  <definedNames>
    <definedName name="Slicer_Category">#N/A</definedName>
    <definedName name="Slicer_Payment_Mode">#N/A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4" i="1" l="1"/>
  <c r="M2" i="1"/>
  <c r="M6" i="1"/>
</calcChain>
</file>

<file path=xl/sharedStrings.xml><?xml version="1.0" encoding="utf-8"?>
<sst xmlns="http://schemas.openxmlformats.org/spreadsheetml/2006/main" count="436" uniqueCount="144">
  <si>
    <t>Order_ID</t>
  </si>
  <si>
    <t>Order_Date</t>
  </si>
  <si>
    <t>Region</t>
  </si>
  <si>
    <t>Category</t>
  </si>
  <si>
    <t>Product_Name</t>
  </si>
  <si>
    <t>Salesperson</t>
  </si>
  <si>
    <t>Payment_Mode</t>
  </si>
  <si>
    <t>Quantity</t>
  </si>
  <si>
    <t>Sales_Amount</t>
  </si>
  <si>
    <t>Profit</t>
  </si>
  <si>
    <t>ORD-1002</t>
  </si>
  <si>
    <t>01-14-2026</t>
  </si>
  <si>
    <t>North</t>
  </si>
  <si>
    <t>Electronics</t>
  </si>
  <si>
    <t>Laptop</t>
  </si>
  <si>
    <t>Emily</t>
  </si>
  <si>
    <t>Card</t>
  </si>
  <si>
    <t>ORD-1003</t>
  </si>
  <si>
    <t>04-10-2026</t>
  </si>
  <si>
    <t>South</t>
  </si>
  <si>
    <t>Home Decor</t>
  </si>
  <si>
    <t>Tennis Racket</t>
  </si>
  <si>
    <t>Michael</t>
  </si>
  <si>
    <t>ORD-1004</t>
  </si>
  <si>
    <t>02-23-2026</t>
  </si>
  <si>
    <t>Clothing</t>
  </si>
  <si>
    <t>Jeans</t>
  </si>
  <si>
    <t>Sophia</t>
  </si>
  <si>
    <t>ORD-1005</t>
  </si>
  <si>
    <t>01-26-2026</t>
  </si>
  <si>
    <t>West</t>
  </si>
  <si>
    <t>Sports</t>
  </si>
  <si>
    <t>John</t>
  </si>
  <si>
    <t>Cash</t>
  </si>
  <si>
    <t>ORD-1006</t>
  </si>
  <si>
    <t>03-06-2026</t>
  </si>
  <si>
    <t>Furniture</t>
  </si>
  <si>
    <t>Headphones</t>
  </si>
  <si>
    <t>Olivia</t>
  </si>
  <si>
    <t>ORD-1007</t>
  </si>
  <si>
    <t>03-05-2026</t>
  </si>
  <si>
    <t>ORD-1008</t>
  </si>
  <si>
    <t>04-11-2026</t>
  </si>
  <si>
    <t>Table Lamp</t>
  </si>
  <si>
    <t>Online</t>
  </si>
  <si>
    <t>ORD-1009</t>
  </si>
  <si>
    <t>04-21-2026</t>
  </si>
  <si>
    <t>Basketball</t>
  </si>
  <si>
    <t>ORD-1010</t>
  </si>
  <si>
    <t>03-18-2026</t>
  </si>
  <si>
    <t>ORD-1011</t>
  </si>
  <si>
    <t>01-05-2026</t>
  </si>
  <si>
    <t>David</t>
  </si>
  <si>
    <t>ORD-1012</t>
  </si>
  <si>
    <t>02-24-2026</t>
  </si>
  <si>
    <t>ORD-1013</t>
  </si>
  <si>
    <t>03-10-2026</t>
  </si>
  <si>
    <t>ORD-1014</t>
  </si>
  <si>
    <t>04-28-2026</t>
  </si>
  <si>
    <t>Dining Table</t>
  </si>
  <si>
    <t>ORD-1015</t>
  </si>
  <si>
    <t>03-12-2026</t>
  </si>
  <si>
    <t>East</t>
  </si>
  <si>
    <t>ORD-1016</t>
  </si>
  <si>
    <t>01-20-2026</t>
  </si>
  <si>
    <t>Wall Clock</t>
  </si>
  <si>
    <t>ORD-1017</t>
  </si>
  <si>
    <t>04-15-2026</t>
  </si>
  <si>
    <t>ORD-1018</t>
  </si>
  <si>
    <t>01-23-2026</t>
  </si>
  <si>
    <t>T-Shirt</t>
  </si>
  <si>
    <t>ORD-1019</t>
  </si>
  <si>
    <t>ORD-1020</t>
  </si>
  <si>
    <t>01-13-2026</t>
  </si>
  <si>
    <t>ORD-1021</t>
  </si>
  <si>
    <t>03-26-2026</t>
  </si>
  <si>
    <t>ORD-1022</t>
  </si>
  <si>
    <t>ORD-1023</t>
  </si>
  <si>
    <t>02-27-2026</t>
  </si>
  <si>
    <t>ORD-1024</t>
  </si>
  <si>
    <t>01-02-2026</t>
  </si>
  <si>
    <t>ORD-1025</t>
  </si>
  <si>
    <t>01-25-2026</t>
  </si>
  <si>
    <t>ORD-1026</t>
  </si>
  <si>
    <t>01-11-2026</t>
  </si>
  <si>
    <t>Office Chair</t>
  </si>
  <si>
    <t>ORD-1027</t>
  </si>
  <si>
    <t>01-01-2026</t>
  </si>
  <si>
    <t>ORD-1028</t>
  </si>
  <si>
    <t>02-01-2026</t>
  </si>
  <si>
    <t>ORD-1029</t>
  </si>
  <si>
    <t>03-16-2026</t>
  </si>
  <si>
    <t>ORD-1030</t>
  </si>
  <si>
    <t>02-14-2026</t>
  </si>
  <si>
    <t>ORD-1031</t>
  </si>
  <si>
    <t>01-21-2026</t>
  </si>
  <si>
    <t>ORD-1032</t>
  </si>
  <si>
    <t>ORD-1033</t>
  </si>
  <si>
    <t>05-01-2026</t>
  </si>
  <si>
    <t>ORD-1034</t>
  </si>
  <si>
    <t>03-23-2026</t>
  </si>
  <si>
    <t>ORD-1035</t>
  </si>
  <si>
    <t>04-07-2026</t>
  </si>
  <si>
    <t>ORD-1036</t>
  </si>
  <si>
    <t>04-27-2026</t>
  </si>
  <si>
    <t>ORD-1037</t>
  </si>
  <si>
    <t>03-07-2026</t>
  </si>
  <si>
    <t>ORD-1038</t>
  </si>
  <si>
    <t>01-24-2026</t>
  </si>
  <si>
    <t>ORD-1039</t>
  </si>
  <si>
    <t>04-18-2026</t>
  </si>
  <si>
    <t>ORD-1040</t>
  </si>
  <si>
    <t>01-03-2026</t>
  </si>
  <si>
    <t>ORD-1041</t>
  </si>
  <si>
    <t>ORD-1042</t>
  </si>
  <si>
    <t>01-06-2026</t>
  </si>
  <si>
    <t>ORD-1043</t>
  </si>
  <si>
    <t>04-16-2026</t>
  </si>
  <si>
    <t>ORD-1044</t>
  </si>
  <si>
    <t>04-06-2026</t>
  </si>
  <si>
    <t>ORD-1045</t>
  </si>
  <si>
    <t>ORD-1046</t>
  </si>
  <si>
    <t>02-09-2026</t>
  </si>
  <si>
    <t>ORD-1047</t>
  </si>
  <si>
    <t>ORD-1048</t>
  </si>
  <si>
    <t>ORD-1049</t>
  </si>
  <si>
    <t>04-09-2026</t>
  </si>
  <si>
    <t>ORD-1050</t>
  </si>
  <si>
    <t>ORD-1051</t>
  </si>
  <si>
    <t>04-22-2026</t>
  </si>
  <si>
    <t>Others</t>
  </si>
  <si>
    <t>Unknown</t>
  </si>
  <si>
    <t>Total Sales</t>
  </si>
  <si>
    <t>Total Profit</t>
  </si>
  <si>
    <t>Total Quantity Sold</t>
  </si>
  <si>
    <t>Row Labels</t>
  </si>
  <si>
    <t>Sum of Sales_Amount</t>
  </si>
  <si>
    <t>Sum of Profit</t>
  </si>
  <si>
    <t xml:space="preserve">             Profit by Category </t>
  </si>
  <si>
    <t xml:space="preserve">                    Sales By Region</t>
  </si>
  <si>
    <t>Sales Trend</t>
  </si>
  <si>
    <t>Sum of Quantity</t>
  </si>
  <si>
    <t xml:space="preserve">             Qty By Pay-Mode</t>
  </si>
  <si>
    <t xml:space="preserve">                Top 3 Salesperson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</si>
</sst>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4" x14ac:knownFonts="1">
    <font>
      <sz val="11"/>
      <color theme="1"/>
      <name val="Tw Cen MT"/>
      <family val="2"/>
      <scheme val="minor"/>
    </font>
    <font>
      <b/>
      <sz val="11"/>
      <name val="Calibri"/>
    </font>
    <font>
      <b/>
      <sz val="11"/>
      <color theme="1"/>
      <name val="Tw Cen MT"/>
      <family val="2"/>
      <scheme val="minor"/>
    </font>
    <font>
      <b/>
      <sz val="24"/>
      <color theme="1"/>
      <name val="Tw Cen MT"/>
      <family val="2"/>
      <scheme val="minor"/>
    </font>
  </fonts>
  <fills count="5">
    <fill>
      <patternFill patternType="none"/>
    </fill>
    <fill>
      <patternFill patternType="gray125"/>
    </fill>
    <fill>
      <patternFill patternType="solid">
        <fgColor theme="5" tint="0.59999389629810485"/>
        <bgColor indexed="64"/>
      </patternFill>
    </fill>
    <fill>
      <patternFill patternType="solid">
        <fgColor theme="6" tint="0.39997558519241921"/>
        <bgColor indexed="64"/>
      </patternFill>
    </fill>
    <fill>
      <patternFill patternType="solid">
        <fgColor theme="9"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0" fontId="1" fillId="0" borderId="0" xfId="0" applyFont="1" applyAlignment="1">
      <alignment horizontal="center"/>
    </xf>
    <xf numFmtId="44" fontId="1" fillId="0" borderId="0" xfId="0" applyNumberFormat="1" applyFont="1" applyAlignment="1">
      <alignment horizontal="center"/>
    </xf>
    <xf numFmtId="44" fontId="0" fillId="0" borderId="0" xfId="0" applyNumberFormat="1"/>
    <xf numFmtId="0" fontId="0" fillId="0" borderId="1" xfId="0" applyBorder="1"/>
    <xf numFmtId="44" fontId="2" fillId="0" borderId="1" xfId="0" applyNumberFormat="1" applyFont="1" applyBorder="1"/>
    <xf numFmtId="0" fontId="2" fillId="0" borderId="1" xfId="0" applyFont="1" applyBorder="1"/>
    <xf numFmtId="0" fontId="2" fillId="2" borderId="1" xfId="0" applyFont="1" applyFill="1" applyBorder="1"/>
    <xf numFmtId="0" fontId="2" fillId="3" borderId="1" xfId="0" applyFont="1" applyFill="1" applyBorder="1"/>
    <xf numFmtId="0" fontId="2" fillId="4" borderId="1" xfId="0" applyFont="1" applyFill="1" applyBorder="1"/>
    <xf numFmtId="0" fontId="0" fillId="0" borderId="0" xfId="0" pivotButton="1"/>
    <xf numFmtId="0" fontId="0" fillId="0" borderId="0" xfId="0" applyNumberFormat="1"/>
    <xf numFmtId="0" fontId="0" fillId="0" borderId="0" xfId="0" applyAlignment="1">
      <alignment horizontal="left"/>
    </xf>
    <xf numFmtId="0" fontId="0" fillId="4" borderId="0" xfId="0" applyFill="1"/>
    <xf numFmtId="0" fontId="2" fillId="4" borderId="0" xfId="0" applyFont="1" applyFill="1"/>
    <xf numFmtId="0" fontId="2" fillId="4" borderId="0" xfId="0" applyFont="1" applyFill="1" applyAlignment="1">
      <alignment vertical="center"/>
    </xf>
    <xf numFmtId="0" fontId="0" fillId="4" borderId="0" xfId="0" applyFill="1" applyAlignment="1"/>
    <xf numFmtId="0" fontId="2" fillId="4" borderId="0" xfId="0" applyFont="1" applyFill="1" applyAlignment="1"/>
    <xf numFmtId="0" fontId="3" fillId="0" borderId="0" xfId="0" applyFont="1"/>
  </cellXfs>
  <cellStyles count="1">
    <cellStyle name="Normal" xfId="0" builtinId="0"/>
  </cellStyles>
  <dxfs count="3">
    <dxf>
      <numFmt numFmtId="34" formatCode="_(&quot;$&quot;* #,##0.00_);_(&quot;$&quot;* \(#,##0.00\);_(&quot;$&quot;* &quot;-&quot;??_);_(@_)"/>
    </dxf>
    <dxf>
      <numFmt numFmtId="34" formatCode="_(&quot;$&quot;* #,##0.00_);_(&quot;$&quot;* \(#,##0.00\);_(&quot;$&quot;* &quot;-&quot;??_);_(@_)"/>
    </dxf>
    <dxf>
      <font>
        <b/>
        <i val="0"/>
        <strike val="0"/>
        <condense val="0"/>
        <extend val="0"/>
        <outline val="0"/>
        <shadow val="0"/>
        <u val="none"/>
        <vertAlign val="baseline"/>
        <sz val="11"/>
        <color auto="1"/>
        <name val="Calibri"/>
        <scheme val="none"/>
      </font>
      <alignment horizontal="center" vertical="bottom"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[Lab10_Apex_Retail_Sales_Dataset.xlsx]Pivot_Analysis!PivotTable3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a:t>
            </a:r>
            <a:r>
              <a:rPr lang="en-US" baseline="0"/>
              <a:t> Region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Pivot_Analysis!$B$3</c:f>
              <c:strCache>
                <c:ptCount val="1"/>
                <c:pt idx="0">
                  <c:v>Total</c:v>
                </c:pt>
              </c:strCache>
            </c:strRef>
          </c:tx>
          <c:spPr>
            <a:solidFill>
              <a:schemeClr val="accent1"/>
            </a:solidFill>
            <a:ln>
              <a:noFill/>
            </a:ln>
            <a:effectLst/>
          </c:spPr>
          <c:invertIfNegative val="0"/>
          <c:cat>
            <c:strRef>
              <c:f>Pivot_Analysis!$A$4:$A$7</c:f>
              <c:strCache>
                <c:ptCount val="4"/>
                <c:pt idx="0">
                  <c:v>East</c:v>
                </c:pt>
                <c:pt idx="1">
                  <c:v>North</c:v>
                </c:pt>
                <c:pt idx="2">
                  <c:v>South</c:v>
                </c:pt>
                <c:pt idx="3">
                  <c:v>West</c:v>
                </c:pt>
              </c:strCache>
            </c:strRef>
          </c:cat>
          <c:val>
            <c:numRef>
              <c:f>Pivot_Analysis!$B$4:$B$7</c:f>
              <c:numCache>
                <c:formatCode>General</c:formatCode>
                <c:ptCount val="4"/>
                <c:pt idx="0">
                  <c:v>15553</c:v>
                </c:pt>
                <c:pt idx="1">
                  <c:v>31097</c:v>
                </c:pt>
                <c:pt idx="2">
                  <c:v>25729</c:v>
                </c:pt>
                <c:pt idx="3">
                  <c:v>21480</c:v>
                </c:pt>
              </c:numCache>
            </c:numRef>
          </c:val>
          <c:extLst>
            <c:ext xmlns:c16="http://schemas.microsoft.com/office/drawing/2014/chart" uri="{C3380CC4-5D6E-409C-BE32-E72D297353CC}">
              <c16:uniqueId val="{00000000-87CD-4CA4-8E17-CCEC196F6544}"/>
            </c:ext>
          </c:extLst>
        </c:ser>
        <c:dLbls>
          <c:showLegendKey val="0"/>
          <c:showVal val="0"/>
          <c:showCatName val="0"/>
          <c:showSerName val="0"/>
          <c:showPercent val="0"/>
          <c:showBubbleSize val="0"/>
        </c:dLbls>
        <c:gapWidth val="219"/>
        <c:overlap val="-27"/>
        <c:axId val="914300544"/>
        <c:axId val="914301504"/>
      </c:barChart>
      <c:catAx>
        <c:axId val="9143005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301504"/>
        <c:crosses val="autoZero"/>
        <c:auto val="1"/>
        <c:lblAlgn val="ctr"/>
        <c:lblOffset val="100"/>
        <c:noMultiLvlLbl val="0"/>
      </c:catAx>
      <c:valAx>
        <c:axId val="914301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300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[Lab10_Apex_Retail_Sales_Dataset.xlsx]Pivot_Analysis!PivotTable6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025371828521428E-2"/>
          <c:y val="0.37800488480606592"/>
          <c:w val="0.72191863517060373"/>
          <c:h val="0.39420202682997957"/>
        </c:manualLayout>
      </c:layout>
      <c:lineChart>
        <c:grouping val="standard"/>
        <c:varyColors val="0"/>
        <c:ser>
          <c:idx val="0"/>
          <c:order val="0"/>
          <c:tx>
            <c:strRef>
              <c:f>Pivot_Analysis!$H$3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Pivot_Analysis!$G$4:$G$45</c:f>
              <c:strCache>
                <c:ptCount val="42"/>
                <c:pt idx="0">
                  <c:v>01-01-2026</c:v>
                </c:pt>
                <c:pt idx="1">
                  <c:v>01-02-2026</c:v>
                </c:pt>
                <c:pt idx="2">
                  <c:v>01-03-2026</c:v>
                </c:pt>
                <c:pt idx="3">
                  <c:v>01-05-2026</c:v>
                </c:pt>
                <c:pt idx="4">
                  <c:v>01-06-2026</c:v>
                </c:pt>
                <c:pt idx="5">
                  <c:v>01-11-2026</c:v>
                </c:pt>
                <c:pt idx="6">
                  <c:v>01-13-2026</c:v>
                </c:pt>
                <c:pt idx="7">
                  <c:v>01-14-2026</c:v>
                </c:pt>
                <c:pt idx="8">
                  <c:v>01-20-2026</c:v>
                </c:pt>
                <c:pt idx="9">
                  <c:v>01-21-2026</c:v>
                </c:pt>
                <c:pt idx="10">
                  <c:v>01-23-2026</c:v>
                </c:pt>
                <c:pt idx="11">
                  <c:v>01-24-2026</c:v>
                </c:pt>
                <c:pt idx="12">
                  <c:v>01-25-2026</c:v>
                </c:pt>
                <c:pt idx="13">
                  <c:v>01-26-2026</c:v>
                </c:pt>
                <c:pt idx="14">
                  <c:v>02-01-2026</c:v>
                </c:pt>
                <c:pt idx="15">
                  <c:v>02-09-2026</c:v>
                </c:pt>
                <c:pt idx="16">
                  <c:v>02-14-2026</c:v>
                </c:pt>
                <c:pt idx="17">
                  <c:v>02-23-2026</c:v>
                </c:pt>
                <c:pt idx="18">
                  <c:v>02-24-2026</c:v>
                </c:pt>
                <c:pt idx="19">
                  <c:v>02-27-2026</c:v>
                </c:pt>
                <c:pt idx="20">
                  <c:v>03-05-2026</c:v>
                </c:pt>
                <c:pt idx="21">
                  <c:v>03-06-2026</c:v>
                </c:pt>
                <c:pt idx="22">
                  <c:v>03-07-2026</c:v>
                </c:pt>
                <c:pt idx="23">
                  <c:v>03-10-2026</c:v>
                </c:pt>
                <c:pt idx="24">
                  <c:v>03-12-2026</c:v>
                </c:pt>
                <c:pt idx="25">
                  <c:v>03-16-2026</c:v>
                </c:pt>
                <c:pt idx="26">
                  <c:v>03-18-2026</c:v>
                </c:pt>
                <c:pt idx="27">
                  <c:v>03-23-2026</c:v>
                </c:pt>
                <c:pt idx="28">
                  <c:v>03-26-2026</c:v>
                </c:pt>
                <c:pt idx="29">
                  <c:v>04-06-2026</c:v>
                </c:pt>
                <c:pt idx="30">
                  <c:v>04-07-2026</c:v>
                </c:pt>
                <c:pt idx="31">
                  <c:v>04-09-2026</c:v>
                </c:pt>
                <c:pt idx="32">
                  <c:v>04-10-2026</c:v>
                </c:pt>
                <c:pt idx="33">
                  <c:v>04-11-2026</c:v>
                </c:pt>
                <c:pt idx="34">
                  <c:v>04-15-2026</c:v>
                </c:pt>
                <c:pt idx="35">
                  <c:v>04-16-2026</c:v>
                </c:pt>
                <c:pt idx="36">
                  <c:v>04-18-2026</c:v>
                </c:pt>
                <c:pt idx="37">
                  <c:v>04-21-2026</c:v>
                </c:pt>
                <c:pt idx="38">
                  <c:v>04-22-2026</c:v>
                </c:pt>
                <c:pt idx="39">
                  <c:v>04-27-2026</c:v>
                </c:pt>
                <c:pt idx="40">
                  <c:v>04-28-2026</c:v>
                </c:pt>
                <c:pt idx="41">
                  <c:v>05-01-2026</c:v>
                </c:pt>
              </c:strCache>
            </c:strRef>
          </c:cat>
          <c:val>
            <c:numRef>
              <c:f>Pivot_Analysis!$H$4:$H$45</c:f>
              <c:numCache>
                <c:formatCode>General</c:formatCode>
                <c:ptCount val="42"/>
                <c:pt idx="0">
                  <c:v>2868</c:v>
                </c:pt>
                <c:pt idx="1">
                  <c:v>2155</c:v>
                </c:pt>
                <c:pt idx="2">
                  <c:v>3197</c:v>
                </c:pt>
                <c:pt idx="3">
                  <c:v>2860</c:v>
                </c:pt>
                <c:pt idx="4">
                  <c:v>954</c:v>
                </c:pt>
                <c:pt idx="5">
                  <c:v>2302</c:v>
                </c:pt>
                <c:pt idx="6">
                  <c:v>2802</c:v>
                </c:pt>
                <c:pt idx="7">
                  <c:v>3930</c:v>
                </c:pt>
                <c:pt idx="8">
                  <c:v>2888</c:v>
                </c:pt>
                <c:pt idx="9">
                  <c:v>2835</c:v>
                </c:pt>
                <c:pt idx="10">
                  <c:v>734</c:v>
                </c:pt>
                <c:pt idx="11">
                  <c:v>1357</c:v>
                </c:pt>
                <c:pt idx="12">
                  <c:v>0</c:v>
                </c:pt>
                <c:pt idx="13">
                  <c:v>1310</c:v>
                </c:pt>
                <c:pt idx="14">
                  <c:v>2723</c:v>
                </c:pt>
                <c:pt idx="15">
                  <c:v>977</c:v>
                </c:pt>
                <c:pt idx="16">
                  <c:v>1266</c:v>
                </c:pt>
                <c:pt idx="17">
                  <c:v>1961</c:v>
                </c:pt>
                <c:pt idx="18">
                  <c:v>1891</c:v>
                </c:pt>
                <c:pt idx="19">
                  <c:v>2163</c:v>
                </c:pt>
                <c:pt idx="20">
                  <c:v>1850</c:v>
                </c:pt>
                <c:pt idx="21">
                  <c:v>3444</c:v>
                </c:pt>
                <c:pt idx="22">
                  <c:v>1990</c:v>
                </c:pt>
                <c:pt idx="23">
                  <c:v>2996</c:v>
                </c:pt>
                <c:pt idx="24">
                  <c:v>2846</c:v>
                </c:pt>
                <c:pt idx="25">
                  <c:v>780</c:v>
                </c:pt>
                <c:pt idx="26">
                  <c:v>2859</c:v>
                </c:pt>
                <c:pt idx="27">
                  <c:v>2435</c:v>
                </c:pt>
                <c:pt idx="28">
                  <c:v>2460</c:v>
                </c:pt>
                <c:pt idx="29">
                  <c:v>2365</c:v>
                </c:pt>
                <c:pt idx="30">
                  <c:v>1002</c:v>
                </c:pt>
                <c:pt idx="31">
                  <c:v>2833</c:v>
                </c:pt>
                <c:pt idx="32">
                  <c:v>2815</c:v>
                </c:pt>
                <c:pt idx="33">
                  <c:v>1847</c:v>
                </c:pt>
                <c:pt idx="34">
                  <c:v>2669</c:v>
                </c:pt>
                <c:pt idx="35">
                  <c:v>786</c:v>
                </c:pt>
                <c:pt idx="36">
                  <c:v>2907</c:v>
                </c:pt>
                <c:pt idx="37">
                  <c:v>2654</c:v>
                </c:pt>
                <c:pt idx="38">
                  <c:v>2704</c:v>
                </c:pt>
                <c:pt idx="39">
                  <c:v>2840</c:v>
                </c:pt>
                <c:pt idx="40">
                  <c:v>831</c:v>
                </c:pt>
                <c:pt idx="41">
                  <c:v>4773</c:v>
                </c:pt>
              </c:numCache>
            </c:numRef>
          </c:val>
          <c:smooth val="0"/>
          <c:extLst>
            <c:ext xmlns:c16="http://schemas.microsoft.com/office/drawing/2014/chart" uri="{C3380CC4-5D6E-409C-BE32-E72D297353CC}">
              <c16:uniqueId val="{00000000-8C73-4E82-901E-D8D3032A6C78}"/>
            </c:ext>
          </c:extLst>
        </c:ser>
        <c:dLbls>
          <c:showLegendKey val="0"/>
          <c:showVal val="0"/>
          <c:showCatName val="0"/>
          <c:showSerName val="0"/>
          <c:showPercent val="0"/>
          <c:showBubbleSize val="0"/>
        </c:dLbls>
        <c:marker val="1"/>
        <c:smooth val="0"/>
        <c:axId val="1081124960"/>
        <c:axId val="1081127840"/>
      </c:lineChart>
      <c:catAx>
        <c:axId val="1081124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1127840"/>
        <c:crosses val="autoZero"/>
        <c:auto val="1"/>
        <c:lblAlgn val="ctr"/>
        <c:lblOffset val="100"/>
        <c:noMultiLvlLbl val="0"/>
      </c:catAx>
      <c:valAx>
        <c:axId val="1081127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1124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[Lab10_Apex_Retail_Sales_Dataset.xlsx]Pivot_Analysis!PivotTable4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Category</a:t>
            </a:r>
            <a:r>
              <a:rPr lang="en-US"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Pivot_Analysis!$E$3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BCA-44A2-A1CD-11128DBCE97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BCA-44A2-A1CD-11128DBCE97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BCA-44A2-A1CD-11128DBCE97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BCA-44A2-A1CD-11128DBCE97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BCA-44A2-A1CD-11128DBCE97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BCA-44A2-A1CD-11128DBCE979}"/>
              </c:ext>
            </c:extLst>
          </c:dPt>
          <c:cat>
            <c:strRef>
              <c:f>Pivot_Analysis!$D$4:$D$9</c:f>
              <c:strCache>
                <c:ptCount val="6"/>
                <c:pt idx="0">
                  <c:v>Clothing</c:v>
                </c:pt>
                <c:pt idx="1">
                  <c:v>Electronics</c:v>
                </c:pt>
                <c:pt idx="2">
                  <c:v>Furniture</c:v>
                </c:pt>
                <c:pt idx="3">
                  <c:v>Home Decor</c:v>
                </c:pt>
                <c:pt idx="4">
                  <c:v>Others</c:v>
                </c:pt>
                <c:pt idx="5">
                  <c:v>Sports</c:v>
                </c:pt>
              </c:strCache>
            </c:strRef>
          </c:cat>
          <c:val>
            <c:numRef>
              <c:f>Pivot_Analysis!$E$4:$E$9</c:f>
              <c:numCache>
                <c:formatCode>General</c:formatCode>
                <c:ptCount val="6"/>
                <c:pt idx="0">
                  <c:v>3642.19</c:v>
                </c:pt>
                <c:pt idx="1">
                  <c:v>3760.8100000000004</c:v>
                </c:pt>
                <c:pt idx="2">
                  <c:v>1686.8700000000001</c:v>
                </c:pt>
                <c:pt idx="3">
                  <c:v>3297.0200000000004</c:v>
                </c:pt>
                <c:pt idx="4">
                  <c:v>309.81</c:v>
                </c:pt>
                <c:pt idx="5">
                  <c:v>2559.3300000000004</c:v>
                </c:pt>
              </c:numCache>
            </c:numRef>
          </c:val>
          <c:extLst>
            <c:ext xmlns:c16="http://schemas.microsoft.com/office/drawing/2014/chart" uri="{C3380CC4-5D6E-409C-BE32-E72D297353CC}">
              <c16:uniqueId val="{00000000-A9C3-483F-A5A3-A601799D4663}"/>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[Lab10_Apex_Retail_Sales_Dataset.xlsx]Pivot_Analysis!PivotTable8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Qty By Pay-Mode</a:t>
            </a:r>
          </a:p>
        </c:rich>
      </c:tx>
      <c:layout>
        <c:manualLayout>
          <c:xMode val="edge"/>
          <c:yMode val="edge"/>
          <c:x val="0.32479155730533682"/>
          <c:y val="0.1008311461067366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Pivot_Analysis!$K$3</c:f>
              <c:strCache>
                <c:ptCount val="1"/>
                <c:pt idx="0">
                  <c:v>Total</c:v>
                </c:pt>
              </c:strCache>
            </c:strRef>
          </c:tx>
          <c:spPr>
            <a:solidFill>
              <a:schemeClr val="accent1"/>
            </a:solidFill>
            <a:ln>
              <a:noFill/>
            </a:ln>
            <a:effectLst/>
          </c:spPr>
          <c:invertIfNegative val="0"/>
          <c:cat>
            <c:strRef>
              <c:f>Pivot_Analysis!$J$4:$J$6</c:f>
              <c:strCache>
                <c:ptCount val="3"/>
                <c:pt idx="0">
                  <c:v>Card</c:v>
                </c:pt>
                <c:pt idx="1">
                  <c:v>Cash</c:v>
                </c:pt>
                <c:pt idx="2">
                  <c:v>Online</c:v>
                </c:pt>
              </c:strCache>
            </c:strRef>
          </c:cat>
          <c:val>
            <c:numRef>
              <c:f>Pivot_Analysis!$K$4:$K$6</c:f>
              <c:numCache>
                <c:formatCode>General</c:formatCode>
                <c:ptCount val="3"/>
                <c:pt idx="0">
                  <c:v>138</c:v>
                </c:pt>
                <c:pt idx="1">
                  <c:v>53</c:v>
                </c:pt>
                <c:pt idx="2">
                  <c:v>69</c:v>
                </c:pt>
              </c:numCache>
            </c:numRef>
          </c:val>
          <c:extLst>
            <c:ext xmlns:c16="http://schemas.microsoft.com/office/drawing/2014/chart" uri="{C3380CC4-5D6E-409C-BE32-E72D297353CC}">
              <c16:uniqueId val="{00000000-1750-4ADE-819E-22EDC427548E}"/>
            </c:ext>
          </c:extLst>
        </c:ser>
        <c:dLbls>
          <c:showLegendKey val="0"/>
          <c:showVal val="0"/>
          <c:showCatName val="0"/>
          <c:showSerName val="0"/>
          <c:showPercent val="0"/>
          <c:showBubbleSize val="0"/>
        </c:dLbls>
        <c:gapWidth val="182"/>
        <c:axId val="956258176"/>
        <c:axId val="956259136"/>
      </c:barChart>
      <c:catAx>
        <c:axId val="9562581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6259136"/>
        <c:crosses val="autoZero"/>
        <c:auto val="1"/>
        <c:lblAlgn val="ctr"/>
        <c:lblOffset val="100"/>
        <c:noMultiLvlLbl val="0"/>
      </c:catAx>
      <c:valAx>
        <c:axId val="9562591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62581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[Lab10_Apex_Retail_Sales_Dataset.xlsx]Pivot_Analysis!PivotTable9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Salesperson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Pivot_Analysis!$O$3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Pivot_Analysis!$N$4:$N$6</c:f>
              <c:strCache>
                <c:ptCount val="3"/>
                <c:pt idx="0">
                  <c:v>Michael</c:v>
                </c:pt>
                <c:pt idx="1">
                  <c:v>Olivia</c:v>
                </c:pt>
                <c:pt idx="2">
                  <c:v>Sophia</c:v>
                </c:pt>
              </c:strCache>
            </c:strRef>
          </c:cat>
          <c:val>
            <c:numRef>
              <c:f>Pivot_Analysis!$O$4:$O$6</c:f>
              <c:numCache>
                <c:formatCode>General</c:formatCode>
                <c:ptCount val="3"/>
                <c:pt idx="0">
                  <c:v>21477</c:v>
                </c:pt>
                <c:pt idx="1">
                  <c:v>19543</c:v>
                </c:pt>
                <c:pt idx="2">
                  <c:v>19903</c:v>
                </c:pt>
              </c:numCache>
            </c:numRef>
          </c:val>
          <c:extLst>
            <c:ext xmlns:c16="http://schemas.microsoft.com/office/drawing/2014/chart" uri="{C3380CC4-5D6E-409C-BE32-E72D297353CC}">
              <c16:uniqueId val="{0000000A-0448-4F34-9B52-549CF1A9101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t"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[Lab10_Apex_Retail_Sales_Dataset.xlsx]Pivot_Analysis!PivotTable3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a:t>
            </a:r>
            <a:r>
              <a:rPr lang="en-US" baseline="0"/>
              <a:t> Region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Pivot_Analysis!$B$3</c:f>
              <c:strCache>
                <c:ptCount val="1"/>
                <c:pt idx="0">
                  <c:v>Total</c:v>
                </c:pt>
              </c:strCache>
            </c:strRef>
          </c:tx>
          <c:spPr>
            <a:solidFill>
              <a:schemeClr val="accent1"/>
            </a:solidFill>
            <a:ln>
              <a:noFill/>
            </a:ln>
            <a:effectLst/>
          </c:spPr>
          <c:invertIfNegative val="0"/>
          <c:cat>
            <c:strRef>
              <c:f>Pivot_Analysis!$A$4:$A$7</c:f>
              <c:strCache>
                <c:ptCount val="4"/>
                <c:pt idx="0">
                  <c:v>East</c:v>
                </c:pt>
                <c:pt idx="1">
                  <c:v>North</c:v>
                </c:pt>
                <c:pt idx="2">
                  <c:v>South</c:v>
                </c:pt>
                <c:pt idx="3">
                  <c:v>West</c:v>
                </c:pt>
              </c:strCache>
            </c:strRef>
          </c:cat>
          <c:val>
            <c:numRef>
              <c:f>Pivot_Analysis!$B$4:$B$7</c:f>
              <c:numCache>
                <c:formatCode>General</c:formatCode>
                <c:ptCount val="4"/>
                <c:pt idx="0">
                  <c:v>15553</c:v>
                </c:pt>
                <c:pt idx="1">
                  <c:v>31097</c:v>
                </c:pt>
                <c:pt idx="2">
                  <c:v>25729</c:v>
                </c:pt>
                <c:pt idx="3">
                  <c:v>21480</c:v>
                </c:pt>
              </c:numCache>
            </c:numRef>
          </c:val>
          <c:extLst>
            <c:ext xmlns:c16="http://schemas.microsoft.com/office/drawing/2014/chart" uri="{C3380CC4-5D6E-409C-BE32-E72D297353CC}">
              <c16:uniqueId val="{00000000-49E6-4A9A-888B-D67CFBEEBDF8}"/>
            </c:ext>
          </c:extLst>
        </c:ser>
        <c:dLbls>
          <c:showLegendKey val="0"/>
          <c:showVal val="0"/>
          <c:showCatName val="0"/>
          <c:showSerName val="0"/>
          <c:showPercent val="0"/>
          <c:showBubbleSize val="0"/>
        </c:dLbls>
        <c:gapWidth val="219"/>
        <c:overlap val="-27"/>
        <c:axId val="914300544"/>
        <c:axId val="914301504"/>
      </c:barChart>
      <c:catAx>
        <c:axId val="9143005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301504"/>
        <c:crosses val="autoZero"/>
        <c:auto val="1"/>
        <c:lblAlgn val="ctr"/>
        <c:lblOffset val="100"/>
        <c:noMultiLvlLbl val="0"/>
      </c:catAx>
      <c:valAx>
        <c:axId val="91430150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300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[Lab10_Apex_Retail_Sales_Dataset.xlsx]Pivot_Analysis!PivotTable4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Category</a:t>
            </a:r>
            <a:r>
              <a:rPr lang="en-US"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s>
    <c:plotArea>
      <c:layout/>
      <c:pieChart>
        <c:varyColors val="1"/>
        <c:ser>
          <c:idx val="0"/>
          <c:order val="0"/>
          <c:tx>
            <c:strRef>
              <c:f>Pivot_Analysis!$E$3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F40-4BDD-A049-307B5B1E740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F40-4BDD-A049-307B5B1E740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F40-4BDD-A049-307B5B1E740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F40-4BDD-A049-307B5B1E740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F40-4BDD-A049-307B5B1E740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9F40-4BDD-A049-307B5B1E7409}"/>
              </c:ext>
            </c:extLst>
          </c:dPt>
          <c:cat>
            <c:strRef>
              <c:f>Pivot_Analysis!$D$4:$D$9</c:f>
              <c:strCache>
                <c:ptCount val="6"/>
                <c:pt idx="0">
                  <c:v>Clothing</c:v>
                </c:pt>
                <c:pt idx="1">
                  <c:v>Electronics</c:v>
                </c:pt>
                <c:pt idx="2">
                  <c:v>Furniture</c:v>
                </c:pt>
                <c:pt idx="3">
                  <c:v>Home Decor</c:v>
                </c:pt>
                <c:pt idx="4">
                  <c:v>Others</c:v>
                </c:pt>
                <c:pt idx="5">
                  <c:v>Sports</c:v>
                </c:pt>
              </c:strCache>
            </c:strRef>
          </c:cat>
          <c:val>
            <c:numRef>
              <c:f>Pivot_Analysis!$E$4:$E$9</c:f>
              <c:numCache>
                <c:formatCode>General</c:formatCode>
                <c:ptCount val="6"/>
                <c:pt idx="0">
                  <c:v>3642.19</c:v>
                </c:pt>
                <c:pt idx="1">
                  <c:v>3760.8100000000004</c:v>
                </c:pt>
                <c:pt idx="2">
                  <c:v>1686.8700000000001</c:v>
                </c:pt>
                <c:pt idx="3">
                  <c:v>3297.0200000000004</c:v>
                </c:pt>
                <c:pt idx="4">
                  <c:v>309.81</c:v>
                </c:pt>
                <c:pt idx="5">
                  <c:v>2559.3300000000004</c:v>
                </c:pt>
              </c:numCache>
            </c:numRef>
          </c:val>
          <c:extLst>
            <c:ext xmlns:c16="http://schemas.microsoft.com/office/drawing/2014/chart" uri="{C3380CC4-5D6E-409C-BE32-E72D297353CC}">
              <c16:uniqueId val="{0000000C-9F40-4BDD-A049-307B5B1E7409}"/>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[Lab10_Apex_Retail_Sales_Dataset.xlsx]Pivot_Analysis!PivotTable8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Qty By Pay-Mode</a:t>
            </a:r>
          </a:p>
        </c:rich>
      </c:tx>
      <c:layout>
        <c:manualLayout>
          <c:xMode val="edge"/>
          <c:yMode val="edge"/>
          <c:x val="0.15347586889717074"/>
          <c:y val="0.1653475573617813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Pivot_Analysis!$K$3</c:f>
              <c:strCache>
                <c:ptCount val="1"/>
                <c:pt idx="0">
                  <c:v>Total</c:v>
                </c:pt>
              </c:strCache>
            </c:strRef>
          </c:tx>
          <c:spPr>
            <a:solidFill>
              <a:schemeClr val="accent1"/>
            </a:solidFill>
            <a:ln>
              <a:noFill/>
            </a:ln>
            <a:effectLst/>
          </c:spPr>
          <c:invertIfNegative val="0"/>
          <c:cat>
            <c:strRef>
              <c:f>Pivot_Analysis!$J$4:$J$6</c:f>
              <c:strCache>
                <c:ptCount val="3"/>
                <c:pt idx="0">
                  <c:v>Card</c:v>
                </c:pt>
                <c:pt idx="1">
                  <c:v>Cash</c:v>
                </c:pt>
                <c:pt idx="2">
                  <c:v>Online</c:v>
                </c:pt>
              </c:strCache>
            </c:strRef>
          </c:cat>
          <c:val>
            <c:numRef>
              <c:f>Pivot_Analysis!$K$4:$K$6</c:f>
              <c:numCache>
                <c:formatCode>General</c:formatCode>
                <c:ptCount val="3"/>
                <c:pt idx="0">
                  <c:v>138</c:v>
                </c:pt>
                <c:pt idx="1">
                  <c:v>53</c:v>
                </c:pt>
                <c:pt idx="2">
                  <c:v>69</c:v>
                </c:pt>
              </c:numCache>
            </c:numRef>
          </c:val>
          <c:extLst>
            <c:ext xmlns:c16="http://schemas.microsoft.com/office/drawing/2014/chart" uri="{C3380CC4-5D6E-409C-BE32-E72D297353CC}">
              <c16:uniqueId val="{00000000-C665-4D32-9810-D5AE4AD9AC46}"/>
            </c:ext>
          </c:extLst>
        </c:ser>
        <c:dLbls>
          <c:showLegendKey val="0"/>
          <c:showVal val="0"/>
          <c:showCatName val="0"/>
          <c:showSerName val="0"/>
          <c:showPercent val="0"/>
          <c:showBubbleSize val="0"/>
        </c:dLbls>
        <c:gapWidth val="182"/>
        <c:axId val="956258176"/>
        <c:axId val="956259136"/>
      </c:barChart>
      <c:catAx>
        <c:axId val="9562581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6259136"/>
        <c:crosses val="autoZero"/>
        <c:auto val="1"/>
        <c:lblAlgn val="ctr"/>
        <c:lblOffset val="100"/>
        <c:noMultiLvlLbl val="0"/>
      </c:catAx>
      <c:valAx>
        <c:axId val="9562591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62581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[Lab10_Apex_Retail_Sales_Dataset.xlsx]Pivot_Analysis!PivotTable6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025371828521428E-2"/>
          <c:y val="0.37800488480606592"/>
          <c:w val="0.86770457793003675"/>
          <c:h val="0.39420202682997957"/>
        </c:manualLayout>
      </c:layout>
      <c:lineChart>
        <c:grouping val="standard"/>
        <c:varyColors val="0"/>
        <c:ser>
          <c:idx val="0"/>
          <c:order val="0"/>
          <c:tx>
            <c:strRef>
              <c:f>Pivot_Analysis!$H$3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Pivot_Analysis!$G$4:$G$45</c:f>
              <c:strCache>
                <c:ptCount val="42"/>
                <c:pt idx="0">
                  <c:v>01-01-2026</c:v>
                </c:pt>
                <c:pt idx="1">
                  <c:v>01-02-2026</c:v>
                </c:pt>
                <c:pt idx="2">
                  <c:v>01-03-2026</c:v>
                </c:pt>
                <c:pt idx="3">
                  <c:v>01-05-2026</c:v>
                </c:pt>
                <c:pt idx="4">
                  <c:v>01-06-2026</c:v>
                </c:pt>
                <c:pt idx="5">
                  <c:v>01-11-2026</c:v>
                </c:pt>
                <c:pt idx="6">
                  <c:v>01-13-2026</c:v>
                </c:pt>
                <c:pt idx="7">
                  <c:v>01-14-2026</c:v>
                </c:pt>
                <c:pt idx="8">
                  <c:v>01-20-2026</c:v>
                </c:pt>
                <c:pt idx="9">
                  <c:v>01-21-2026</c:v>
                </c:pt>
                <c:pt idx="10">
                  <c:v>01-23-2026</c:v>
                </c:pt>
                <c:pt idx="11">
                  <c:v>01-24-2026</c:v>
                </c:pt>
                <c:pt idx="12">
                  <c:v>01-25-2026</c:v>
                </c:pt>
                <c:pt idx="13">
                  <c:v>01-26-2026</c:v>
                </c:pt>
                <c:pt idx="14">
                  <c:v>02-01-2026</c:v>
                </c:pt>
                <c:pt idx="15">
                  <c:v>02-09-2026</c:v>
                </c:pt>
                <c:pt idx="16">
                  <c:v>02-14-2026</c:v>
                </c:pt>
                <c:pt idx="17">
                  <c:v>02-23-2026</c:v>
                </c:pt>
                <c:pt idx="18">
                  <c:v>02-24-2026</c:v>
                </c:pt>
                <c:pt idx="19">
                  <c:v>02-27-2026</c:v>
                </c:pt>
                <c:pt idx="20">
                  <c:v>03-05-2026</c:v>
                </c:pt>
                <c:pt idx="21">
                  <c:v>03-06-2026</c:v>
                </c:pt>
                <c:pt idx="22">
                  <c:v>03-07-2026</c:v>
                </c:pt>
                <c:pt idx="23">
                  <c:v>03-10-2026</c:v>
                </c:pt>
                <c:pt idx="24">
                  <c:v>03-12-2026</c:v>
                </c:pt>
                <c:pt idx="25">
                  <c:v>03-16-2026</c:v>
                </c:pt>
                <c:pt idx="26">
                  <c:v>03-18-2026</c:v>
                </c:pt>
                <c:pt idx="27">
                  <c:v>03-23-2026</c:v>
                </c:pt>
                <c:pt idx="28">
                  <c:v>03-26-2026</c:v>
                </c:pt>
                <c:pt idx="29">
                  <c:v>04-06-2026</c:v>
                </c:pt>
                <c:pt idx="30">
                  <c:v>04-07-2026</c:v>
                </c:pt>
                <c:pt idx="31">
                  <c:v>04-09-2026</c:v>
                </c:pt>
                <c:pt idx="32">
                  <c:v>04-10-2026</c:v>
                </c:pt>
                <c:pt idx="33">
                  <c:v>04-11-2026</c:v>
                </c:pt>
                <c:pt idx="34">
                  <c:v>04-15-2026</c:v>
                </c:pt>
                <c:pt idx="35">
                  <c:v>04-16-2026</c:v>
                </c:pt>
                <c:pt idx="36">
                  <c:v>04-18-2026</c:v>
                </c:pt>
                <c:pt idx="37">
                  <c:v>04-21-2026</c:v>
                </c:pt>
                <c:pt idx="38">
                  <c:v>04-22-2026</c:v>
                </c:pt>
                <c:pt idx="39">
                  <c:v>04-27-2026</c:v>
                </c:pt>
                <c:pt idx="40">
                  <c:v>04-28-2026</c:v>
                </c:pt>
                <c:pt idx="41">
                  <c:v>05-01-2026</c:v>
                </c:pt>
              </c:strCache>
            </c:strRef>
          </c:cat>
          <c:val>
            <c:numRef>
              <c:f>Pivot_Analysis!$H$4:$H$45</c:f>
              <c:numCache>
                <c:formatCode>General</c:formatCode>
                <c:ptCount val="42"/>
                <c:pt idx="0">
                  <c:v>2868</c:v>
                </c:pt>
                <c:pt idx="1">
                  <c:v>2155</c:v>
                </c:pt>
                <c:pt idx="2">
                  <c:v>3197</c:v>
                </c:pt>
                <c:pt idx="3">
                  <c:v>2860</c:v>
                </c:pt>
                <c:pt idx="4">
                  <c:v>954</c:v>
                </c:pt>
                <c:pt idx="5">
                  <c:v>2302</c:v>
                </c:pt>
                <c:pt idx="6">
                  <c:v>2802</c:v>
                </c:pt>
                <c:pt idx="7">
                  <c:v>3930</c:v>
                </c:pt>
                <c:pt idx="8">
                  <c:v>2888</c:v>
                </c:pt>
                <c:pt idx="9">
                  <c:v>2835</c:v>
                </c:pt>
                <c:pt idx="10">
                  <c:v>734</c:v>
                </c:pt>
                <c:pt idx="11">
                  <c:v>1357</c:v>
                </c:pt>
                <c:pt idx="12">
                  <c:v>0</c:v>
                </c:pt>
                <c:pt idx="13">
                  <c:v>1310</c:v>
                </c:pt>
                <c:pt idx="14">
                  <c:v>2723</c:v>
                </c:pt>
                <c:pt idx="15">
                  <c:v>977</c:v>
                </c:pt>
                <c:pt idx="16">
                  <c:v>1266</c:v>
                </c:pt>
                <c:pt idx="17">
                  <c:v>1961</c:v>
                </c:pt>
                <c:pt idx="18">
                  <c:v>1891</c:v>
                </c:pt>
                <c:pt idx="19">
                  <c:v>2163</c:v>
                </c:pt>
                <c:pt idx="20">
                  <c:v>1850</c:v>
                </c:pt>
                <c:pt idx="21">
                  <c:v>3444</c:v>
                </c:pt>
                <c:pt idx="22">
                  <c:v>1990</c:v>
                </c:pt>
                <c:pt idx="23">
                  <c:v>2996</c:v>
                </c:pt>
                <c:pt idx="24">
                  <c:v>2846</c:v>
                </c:pt>
                <c:pt idx="25">
                  <c:v>780</c:v>
                </c:pt>
                <c:pt idx="26">
                  <c:v>2859</c:v>
                </c:pt>
                <c:pt idx="27">
                  <c:v>2435</c:v>
                </c:pt>
                <c:pt idx="28">
                  <c:v>2460</c:v>
                </c:pt>
                <c:pt idx="29">
                  <c:v>2365</c:v>
                </c:pt>
                <c:pt idx="30">
                  <c:v>1002</c:v>
                </c:pt>
                <c:pt idx="31">
                  <c:v>2833</c:v>
                </c:pt>
                <c:pt idx="32">
                  <c:v>2815</c:v>
                </c:pt>
                <c:pt idx="33">
                  <c:v>1847</c:v>
                </c:pt>
                <c:pt idx="34">
                  <c:v>2669</c:v>
                </c:pt>
                <c:pt idx="35">
                  <c:v>786</c:v>
                </c:pt>
                <c:pt idx="36">
                  <c:v>2907</c:v>
                </c:pt>
                <c:pt idx="37">
                  <c:v>2654</c:v>
                </c:pt>
                <c:pt idx="38">
                  <c:v>2704</c:v>
                </c:pt>
                <c:pt idx="39">
                  <c:v>2840</c:v>
                </c:pt>
                <c:pt idx="40">
                  <c:v>831</c:v>
                </c:pt>
                <c:pt idx="41">
                  <c:v>4773</c:v>
                </c:pt>
              </c:numCache>
            </c:numRef>
          </c:val>
          <c:smooth val="0"/>
          <c:extLst>
            <c:ext xmlns:c16="http://schemas.microsoft.com/office/drawing/2014/chart" uri="{C3380CC4-5D6E-409C-BE32-E72D297353CC}">
              <c16:uniqueId val="{00000000-0D66-4EF0-9B63-608352DA7416}"/>
            </c:ext>
          </c:extLst>
        </c:ser>
        <c:dLbls>
          <c:showLegendKey val="0"/>
          <c:showVal val="0"/>
          <c:showCatName val="0"/>
          <c:showSerName val="0"/>
          <c:showPercent val="0"/>
          <c:showBubbleSize val="0"/>
        </c:dLbls>
        <c:marker val="1"/>
        <c:smooth val="0"/>
        <c:axId val="1081124960"/>
        <c:axId val="1081127840"/>
      </c:lineChart>
      <c:catAx>
        <c:axId val="1081124960"/>
        <c:scaling>
          <c:orientation val="minMax"/>
        </c:scaling>
        <c:delete val="1"/>
        <c:axPos val="b"/>
        <c:numFmt formatCode="General" sourceLinked="1"/>
        <c:majorTickMark val="none"/>
        <c:minorTickMark val="none"/>
        <c:tickLblPos val="nextTo"/>
        <c:crossAx val="1081127840"/>
        <c:crosses val="autoZero"/>
        <c:auto val="1"/>
        <c:lblAlgn val="ctr"/>
        <c:lblOffset val="100"/>
        <c:noMultiLvlLbl val="0"/>
      </c:catAx>
      <c:valAx>
        <c:axId val="10811278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11249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[Lab10_Apex_Retail_Sales_Dataset.xlsx]Pivot_Analysis!PivotTable9</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3 Salesperson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doughnutChart>
        <c:varyColors val="1"/>
        <c:ser>
          <c:idx val="0"/>
          <c:order val="0"/>
          <c:tx>
            <c:strRef>
              <c:f>Pivot_Analysis!$O$3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Pivot_Analysis!$N$4:$N$6</c:f>
              <c:strCache>
                <c:ptCount val="3"/>
                <c:pt idx="0">
                  <c:v>Michael</c:v>
                </c:pt>
                <c:pt idx="1">
                  <c:v>Olivia</c:v>
                </c:pt>
                <c:pt idx="2">
                  <c:v>Sophia</c:v>
                </c:pt>
              </c:strCache>
            </c:strRef>
          </c:cat>
          <c:val>
            <c:numRef>
              <c:f>Pivot_Analysis!$O$4:$O$6</c:f>
              <c:numCache>
                <c:formatCode>General</c:formatCode>
                <c:ptCount val="3"/>
                <c:pt idx="0">
                  <c:v>21477</c:v>
                </c:pt>
                <c:pt idx="1">
                  <c:v>19543</c:v>
                </c:pt>
                <c:pt idx="2">
                  <c:v>19903</c:v>
                </c:pt>
              </c:numCache>
            </c:numRef>
          </c:val>
          <c:extLst>
            <c:ext xmlns:c16="http://schemas.microsoft.com/office/drawing/2014/chart" uri="{C3380CC4-5D6E-409C-BE32-E72D297353CC}">
              <c16:uniqueId val="{0000000B-B2CF-431B-BF09-645545A3323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r"/>
      <c:overlay val="0"/>
      <c:spPr>
        <a:noFill/>
        <a:ln>
          <a:noFill/>
        </a:ln>
        <a:effectLst/>
      </c:spPr>
      <c:txPr>
        <a:bodyPr rot="0" spcFirstLastPara="1" vertOverflow="ellipsis" vert="horz" wrap="square" anchor="t"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9525</xdr:colOff>
      <xdr:row>12</xdr:row>
      <xdr:rowOff>176212</xdr:rowOff>
    </xdr:from>
    <xdr:to>
      <xdr:col>4</xdr:col>
      <xdr:colOff>1362075</xdr:colOff>
      <xdr:row>27</xdr:row>
      <xdr:rowOff>9525</xdr:rowOff>
    </xdr:to>
    <xdr:graphicFrame macro="">
      <xdr:nvGraphicFramePr>
        <xdr:cNvPr id="2" name="Chart 1">
          <a:extLst>
            <a:ext uri="{FF2B5EF4-FFF2-40B4-BE49-F238E27FC236}">
              <a16:creationId xmlns:a16="http://schemas.microsoft.com/office/drawing/2014/main" id="{5651B459-E583-B8E7-9E0F-DB0158A892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152400</xdr:colOff>
      <xdr:row>26</xdr:row>
      <xdr:rowOff>14287</xdr:rowOff>
    </xdr:from>
    <xdr:to>
      <xdr:col>9</xdr:col>
      <xdr:colOff>152400</xdr:colOff>
      <xdr:row>40</xdr:row>
      <xdr:rowOff>90487</xdr:rowOff>
    </xdr:to>
    <xdr:graphicFrame macro="">
      <xdr:nvGraphicFramePr>
        <xdr:cNvPr id="4" name="Chart 3">
          <a:extLst>
            <a:ext uri="{FF2B5EF4-FFF2-40B4-BE49-F238E27FC236}">
              <a16:creationId xmlns:a16="http://schemas.microsoft.com/office/drawing/2014/main" id="{35A2BDC7-F849-64DC-CA37-0C24FE1AE1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26</xdr:row>
      <xdr:rowOff>42861</xdr:rowOff>
    </xdr:from>
    <xdr:to>
      <xdr:col>4</xdr:col>
      <xdr:colOff>781050</xdr:colOff>
      <xdr:row>40</xdr:row>
      <xdr:rowOff>123824</xdr:rowOff>
    </xdr:to>
    <xdr:graphicFrame macro="">
      <xdr:nvGraphicFramePr>
        <xdr:cNvPr id="5" name="Chart 4">
          <a:extLst>
            <a:ext uri="{FF2B5EF4-FFF2-40B4-BE49-F238E27FC236}">
              <a16:creationId xmlns:a16="http://schemas.microsoft.com/office/drawing/2014/main" id="{412543A6-FC83-3352-54EF-D8C577DDBE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190500</xdr:colOff>
      <xdr:row>5</xdr:row>
      <xdr:rowOff>185737</xdr:rowOff>
    </xdr:from>
    <xdr:to>
      <xdr:col>12</xdr:col>
      <xdr:colOff>457200</xdr:colOff>
      <xdr:row>20</xdr:row>
      <xdr:rowOff>71437</xdr:rowOff>
    </xdr:to>
    <xdr:graphicFrame macro="">
      <xdr:nvGraphicFramePr>
        <xdr:cNvPr id="7" name="Chart 6">
          <a:extLst>
            <a:ext uri="{FF2B5EF4-FFF2-40B4-BE49-F238E27FC236}">
              <a16:creationId xmlns:a16="http://schemas.microsoft.com/office/drawing/2014/main" id="{9F38591A-613F-B6F3-7FA7-BAE6CD25B4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9525</xdr:colOff>
      <xdr:row>5</xdr:row>
      <xdr:rowOff>185737</xdr:rowOff>
    </xdr:from>
    <xdr:to>
      <xdr:col>15</xdr:col>
      <xdr:colOff>1333500</xdr:colOff>
      <xdr:row>20</xdr:row>
      <xdr:rowOff>71437</xdr:rowOff>
    </xdr:to>
    <xdr:graphicFrame macro="">
      <xdr:nvGraphicFramePr>
        <xdr:cNvPr id="8" name="Chart 7">
          <a:extLst>
            <a:ext uri="{FF2B5EF4-FFF2-40B4-BE49-F238E27FC236}">
              <a16:creationId xmlns:a16="http://schemas.microsoft.com/office/drawing/2014/main" id="{4E384A98-C597-BD77-5BC1-56B034111E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9</xdr:col>
      <xdr:colOff>447675</xdr:colOff>
      <xdr:row>23</xdr:row>
      <xdr:rowOff>28576</xdr:rowOff>
    </xdr:from>
    <xdr:to>
      <xdr:col>11</xdr:col>
      <xdr:colOff>323850</xdr:colOff>
      <xdr:row>30</xdr:row>
      <xdr:rowOff>114301</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43CAA65A-401A-FCBB-87AF-21F6C120579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477375" y="4410076"/>
              <a:ext cx="1828800" cy="1352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1019175</xdr:colOff>
      <xdr:row>23</xdr:row>
      <xdr:rowOff>28575</xdr:rowOff>
    </xdr:from>
    <xdr:to>
      <xdr:col>14</xdr:col>
      <xdr:colOff>95250</xdr:colOff>
      <xdr:row>33</xdr:row>
      <xdr:rowOff>152400</xdr:rowOff>
    </xdr:to>
    <mc:AlternateContent xmlns:mc="http://schemas.openxmlformats.org/markup-compatibility/2006" xmlns:a14="http://schemas.microsoft.com/office/drawing/2010/main">
      <mc:Choice Requires="a14">
        <xdr:graphicFrame macro="">
          <xdr:nvGraphicFramePr>
            <xdr:cNvPr id="10" name="Category">
              <a:extLst>
                <a:ext uri="{FF2B5EF4-FFF2-40B4-BE49-F238E27FC236}">
                  <a16:creationId xmlns:a16="http://schemas.microsoft.com/office/drawing/2014/main" id="{5E55BA9B-2A74-8A4E-BE20-DC2633D1E36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953875" y="4410075"/>
              <a:ext cx="1828800" cy="1933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914400</xdr:colOff>
      <xdr:row>23</xdr:row>
      <xdr:rowOff>28575</xdr:rowOff>
    </xdr:from>
    <xdr:to>
      <xdr:col>15</xdr:col>
      <xdr:colOff>1343025</xdr:colOff>
      <xdr:row>29</xdr:row>
      <xdr:rowOff>76200</xdr:rowOff>
    </xdr:to>
    <mc:AlternateContent xmlns:mc="http://schemas.openxmlformats.org/markup-compatibility/2006" xmlns:a14="http://schemas.microsoft.com/office/drawing/2010/main">
      <mc:Choice Requires="a14">
        <xdr:graphicFrame macro="">
          <xdr:nvGraphicFramePr>
            <xdr:cNvPr id="11" name="Payment_Mode">
              <a:extLst>
                <a:ext uri="{FF2B5EF4-FFF2-40B4-BE49-F238E27FC236}">
                  <a16:creationId xmlns:a16="http://schemas.microsoft.com/office/drawing/2014/main" id="{A9A09CA3-C0D0-0EB0-C99B-EAE34E474736}"/>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mlns="">
        <xdr:sp macro="" textlink="">
          <xdr:nvSpPr>
            <xdr:cNvPr id="0" name=""/>
            <xdr:cNvSpPr>
              <a:spLocks noTextEdit="1"/>
            </xdr:cNvSpPr>
          </xdr:nvSpPr>
          <xdr:spPr>
            <a:xfrm>
              <a:off x="14363700" y="4410075"/>
              <a:ext cx="1828800" cy="1133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xdr:colOff>
      <xdr:row>0</xdr:row>
      <xdr:rowOff>0</xdr:rowOff>
    </xdr:from>
    <xdr:to>
      <xdr:col>11</xdr:col>
      <xdr:colOff>581025</xdr:colOff>
      <xdr:row>36</xdr:row>
      <xdr:rowOff>57150</xdr:rowOff>
    </xdr:to>
    <xdr:sp macro="" textlink="">
      <xdr:nvSpPr>
        <xdr:cNvPr id="2" name="Rectangle: Rounded Corners 1">
          <a:extLst>
            <a:ext uri="{FF2B5EF4-FFF2-40B4-BE49-F238E27FC236}">
              <a16:creationId xmlns:a16="http://schemas.microsoft.com/office/drawing/2014/main" id="{6CC093D4-FB91-034B-0165-B0EC60D56442}"/>
            </a:ext>
          </a:extLst>
        </xdr:cNvPr>
        <xdr:cNvSpPr/>
      </xdr:nvSpPr>
      <xdr:spPr>
        <a:xfrm>
          <a:off x="19050" y="0"/>
          <a:ext cx="8105775" cy="6772275"/>
        </a:xfrm>
        <a:prstGeom prst="roundRect">
          <a:avLst>
            <a:gd name="adj" fmla="val 344"/>
          </a:avLst>
        </a:prstGeom>
        <a:solidFill>
          <a:schemeClr val="accent5">
            <a:lumMod val="40000"/>
            <a:lumOff val="6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47625</xdr:colOff>
      <xdr:row>0</xdr:row>
      <xdr:rowOff>28574</xdr:rowOff>
    </xdr:from>
    <xdr:to>
      <xdr:col>4</xdr:col>
      <xdr:colOff>47625</xdr:colOff>
      <xdr:row>3</xdr:row>
      <xdr:rowOff>76199</xdr:rowOff>
    </xdr:to>
    <xdr:sp macro="" textlink="">
      <xdr:nvSpPr>
        <xdr:cNvPr id="3" name="TextBox 2">
          <a:extLst>
            <a:ext uri="{FF2B5EF4-FFF2-40B4-BE49-F238E27FC236}">
              <a16:creationId xmlns:a16="http://schemas.microsoft.com/office/drawing/2014/main" id="{1EAA4655-C31D-22C1-2026-A0CFBBCDA52C}"/>
            </a:ext>
          </a:extLst>
        </xdr:cNvPr>
        <xdr:cNvSpPr txBox="1"/>
      </xdr:nvSpPr>
      <xdr:spPr>
        <a:xfrm>
          <a:off x="47625" y="28574"/>
          <a:ext cx="2743200" cy="590550"/>
        </a:xfrm>
        <a:prstGeom prst="rect">
          <a:avLst/>
        </a:prstGeom>
        <a:solidFill>
          <a:schemeClr val="accent1">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a:t>APEX RETAIL</a:t>
          </a:r>
          <a:r>
            <a:rPr lang="en-US" sz="1200" b="1" baseline="0"/>
            <a:t> SALES DASHBOARD</a:t>
          </a:r>
        </a:p>
        <a:p>
          <a:pPr algn="l"/>
          <a:r>
            <a:rPr lang="en-US" sz="1200" b="1" baseline="0"/>
            <a:t>                                     -Glenda K.</a:t>
          </a:r>
          <a:endParaRPr lang="en-US" sz="1200" b="1"/>
        </a:p>
      </xdr:txBody>
    </xdr:sp>
    <xdr:clientData/>
  </xdr:twoCellAnchor>
  <xdr:twoCellAnchor editAs="oneCell">
    <xdr:from>
      <xdr:col>4</xdr:col>
      <xdr:colOff>47624</xdr:colOff>
      <xdr:row>0</xdr:row>
      <xdr:rowOff>28575</xdr:rowOff>
    </xdr:from>
    <xdr:to>
      <xdr:col>8</xdr:col>
      <xdr:colOff>381000</xdr:colOff>
      <xdr:row>3</xdr:row>
      <xdr:rowOff>114300</xdr:rowOff>
    </xdr:to>
    <mc:AlternateContent xmlns:mc="http://schemas.openxmlformats.org/markup-compatibility/2006">
      <mc:Choice xmlns:a14="http://schemas.microsoft.com/office/drawing/2010/main" Requires="a14">
        <xdr:graphicFrame macro="">
          <xdr:nvGraphicFramePr>
            <xdr:cNvPr id="4" name="Region 1">
              <a:extLst>
                <a:ext uri="{FF2B5EF4-FFF2-40B4-BE49-F238E27FC236}">
                  <a16:creationId xmlns:a16="http://schemas.microsoft.com/office/drawing/2014/main" id="{E6203DD0-1B6E-41DA-A64A-B2B37636E298}"/>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2790824" y="28575"/>
              <a:ext cx="3076576" cy="628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409574</xdr:colOff>
      <xdr:row>0</xdr:row>
      <xdr:rowOff>28576</xdr:rowOff>
    </xdr:from>
    <xdr:to>
      <xdr:col>11</xdr:col>
      <xdr:colOff>571500</xdr:colOff>
      <xdr:row>3</xdr:row>
      <xdr:rowOff>104775</xdr:rowOff>
    </xdr:to>
    <mc:AlternateContent xmlns:mc="http://schemas.openxmlformats.org/markup-compatibility/2006">
      <mc:Choice xmlns:a14="http://schemas.microsoft.com/office/drawing/2010/main" Requires="a14">
        <xdr:graphicFrame macro="">
          <xdr:nvGraphicFramePr>
            <xdr:cNvPr id="5" name="Payment_Mode 1">
              <a:extLst>
                <a:ext uri="{FF2B5EF4-FFF2-40B4-BE49-F238E27FC236}">
                  <a16:creationId xmlns:a16="http://schemas.microsoft.com/office/drawing/2014/main" id="{72E25952-8176-452B-B051-BA0D909D737C}"/>
                </a:ext>
              </a:extLst>
            </xdr:cNvPr>
            <xdr:cNvGraphicFramePr/>
          </xdr:nvGraphicFramePr>
          <xdr:xfrm>
            <a:off x="0" y="0"/>
            <a:ext cx="0" cy="0"/>
          </xdr:xfrm>
          <a:graphic>
            <a:graphicData uri="http://schemas.microsoft.com/office/drawing/2010/slicer">
              <sle:slicer xmlns:sle="http://schemas.microsoft.com/office/drawing/2010/slicer" name="Payment_Mode 1"/>
            </a:graphicData>
          </a:graphic>
        </xdr:graphicFrame>
      </mc:Choice>
      <mc:Fallback>
        <xdr:sp macro="" textlink="">
          <xdr:nvSpPr>
            <xdr:cNvPr id="0" name=""/>
            <xdr:cNvSpPr>
              <a:spLocks noTextEdit="1"/>
            </xdr:cNvSpPr>
          </xdr:nvSpPr>
          <xdr:spPr>
            <a:xfrm>
              <a:off x="5895974" y="28576"/>
              <a:ext cx="2219326" cy="6191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47624</xdr:colOff>
      <xdr:row>3</xdr:row>
      <xdr:rowOff>95250</xdr:rowOff>
    </xdr:from>
    <xdr:to>
      <xdr:col>11</xdr:col>
      <xdr:colOff>561975</xdr:colOff>
      <xdr:row>7</xdr:row>
      <xdr:rowOff>28576</xdr:rowOff>
    </xdr:to>
    <mc:AlternateContent xmlns:mc="http://schemas.openxmlformats.org/markup-compatibility/2006">
      <mc:Choice xmlns:a14="http://schemas.microsoft.com/office/drawing/2010/main" Requires="a14">
        <xdr:graphicFrame macro="">
          <xdr:nvGraphicFramePr>
            <xdr:cNvPr id="6" name="Category 1">
              <a:extLst>
                <a:ext uri="{FF2B5EF4-FFF2-40B4-BE49-F238E27FC236}">
                  <a16:creationId xmlns:a16="http://schemas.microsoft.com/office/drawing/2014/main" id="{8151E947-03FE-46A2-BF0F-878CDFC8D16F}"/>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47624" y="638175"/>
              <a:ext cx="8058151" cy="6572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28576</xdr:colOff>
      <xdr:row>7</xdr:row>
      <xdr:rowOff>38101</xdr:rowOff>
    </xdr:from>
    <xdr:to>
      <xdr:col>3</xdr:col>
      <xdr:colOff>142876</xdr:colOff>
      <xdr:row>10</xdr:row>
      <xdr:rowOff>133351</xdr:rowOff>
    </xdr:to>
    <xdr:sp macro="" textlink="">
      <xdr:nvSpPr>
        <xdr:cNvPr id="7" name="TextBox 6">
          <a:extLst>
            <a:ext uri="{FF2B5EF4-FFF2-40B4-BE49-F238E27FC236}">
              <a16:creationId xmlns:a16="http://schemas.microsoft.com/office/drawing/2014/main" id="{F1293826-6EF2-9D54-93F2-C38BF57782BA}"/>
            </a:ext>
          </a:extLst>
        </xdr:cNvPr>
        <xdr:cNvSpPr txBox="1"/>
      </xdr:nvSpPr>
      <xdr:spPr>
        <a:xfrm>
          <a:off x="28576" y="1371601"/>
          <a:ext cx="1943100" cy="666750"/>
        </a:xfrm>
        <a:prstGeom prst="rect">
          <a:avLst/>
        </a:prstGeom>
        <a:solidFill>
          <a:schemeClr val="tx2">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i="0" u="none" strike="noStrike">
              <a:solidFill>
                <a:schemeClr val="dk1"/>
              </a:solidFill>
              <a:effectLst/>
              <a:latin typeface="+mn-lt"/>
              <a:ea typeface="+mn-ea"/>
              <a:cs typeface="+mn-cs"/>
            </a:rPr>
            <a:t> </a:t>
          </a:r>
          <a:r>
            <a:rPr lang="en-US" sz="2000" b="1" i="0" u="none" strike="noStrike">
              <a:solidFill>
                <a:schemeClr val="bg1"/>
              </a:solidFill>
              <a:effectLst/>
              <a:latin typeface="+mn-lt"/>
              <a:ea typeface="+mn-ea"/>
              <a:cs typeface="+mn-cs"/>
            </a:rPr>
            <a:t>93,859</a:t>
          </a:r>
          <a:r>
            <a:rPr lang="en-US" sz="2000" b="1" i="0" u="none" strike="noStrike">
              <a:solidFill>
                <a:schemeClr val="dk1"/>
              </a:solidFill>
              <a:effectLst/>
              <a:latin typeface="+mn-lt"/>
              <a:ea typeface="+mn-ea"/>
              <a:cs typeface="+mn-cs"/>
            </a:rPr>
            <a:t> </a:t>
          </a:r>
        </a:p>
        <a:p>
          <a:pPr algn="ctr"/>
          <a:r>
            <a:rPr lang="en-US" sz="1100" b="1" i="0" u="none" strike="noStrike">
              <a:solidFill>
                <a:schemeClr val="bg1"/>
              </a:solidFill>
              <a:effectLst/>
              <a:latin typeface="+mn-lt"/>
              <a:ea typeface="+mn-ea"/>
              <a:cs typeface="+mn-cs"/>
            </a:rPr>
            <a:t>Total Sales</a:t>
          </a:r>
          <a:endParaRPr lang="en-US" sz="1100">
            <a:solidFill>
              <a:schemeClr val="bg1"/>
            </a:solidFill>
          </a:endParaRPr>
        </a:p>
      </xdr:txBody>
    </xdr:sp>
    <xdr:clientData/>
  </xdr:twoCellAnchor>
  <xdr:twoCellAnchor>
    <xdr:from>
      <xdr:col>3</xdr:col>
      <xdr:colOff>409575</xdr:colOff>
      <xdr:row>7</xdr:row>
      <xdr:rowOff>47625</xdr:rowOff>
    </xdr:from>
    <xdr:to>
      <xdr:col>7</xdr:col>
      <xdr:colOff>257175</xdr:colOff>
      <xdr:row>10</xdr:row>
      <xdr:rowOff>142875</xdr:rowOff>
    </xdr:to>
    <xdr:sp macro="" textlink="">
      <xdr:nvSpPr>
        <xdr:cNvPr id="8" name="TextBox 7">
          <a:extLst>
            <a:ext uri="{FF2B5EF4-FFF2-40B4-BE49-F238E27FC236}">
              <a16:creationId xmlns:a16="http://schemas.microsoft.com/office/drawing/2014/main" id="{855EADAC-9393-4687-A8E1-38A99D8E4C76}"/>
            </a:ext>
          </a:extLst>
        </xdr:cNvPr>
        <xdr:cNvSpPr txBox="1"/>
      </xdr:nvSpPr>
      <xdr:spPr>
        <a:xfrm>
          <a:off x="2238375" y="1381125"/>
          <a:ext cx="2286000" cy="666750"/>
        </a:xfrm>
        <a:prstGeom prst="rect">
          <a:avLst/>
        </a:prstGeom>
        <a:solidFill>
          <a:schemeClr val="tx2">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i="0" u="none" strike="noStrike">
              <a:solidFill>
                <a:schemeClr val="bg1"/>
              </a:solidFill>
              <a:effectLst/>
              <a:latin typeface="+mn-lt"/>
              <a:ea typeface="+mn-ea"/>
              <a:cs typeface="+mn-cs"/>
            </a:rPr>
            <a:t>  15,256</a:t>
          </a:r>
        </a:p>
        <a:p>
          <a:pPr algn="ctr"/>
          <a:r>
            <a:rPr lang="en-US" sz="1100" b="1" i="0" u="none" strike="noStrike">
              <a:solidFill>
                <a:schemeClr val="bg1"/>
              </a:solidFill>
              <a:effectLst/>
              <a:latin typeface="+mn-lt"/>
              <a:ea typeface="+mn-ea"/>
              <a:cs typeface="+mn-cs"/>
            </a:rPr>
            <a:t>Total Profit</a:t>
          </a:r>
          <a:endParaRPr lang="en-US" sz="1100">
            <a:solidFill>
              <a:schemeClr val="bg1"/>
            </a:solidFill>
          </a:endParaRPr>
        </a:p>
      </xdr:txBody>
    </xdr:sp>
    <xdr:clientData/>
  </xdr:twoCellAnchor>
  <xdr:twoCellAnchor>
    <xdr:from>
      <xdr:col>7</xdr:col>
      <xdr:colOff>371475</xdr:colOff>
      <xdr:row>7</xdr:row>
      <xdr:rowOff>47625</xdr:rowOff>
    </xdr:from>
    <xdr:to>
      <xdr:col>11</xdr:col>
      <xdr:colOff>542925</xdr:colOff>
      <xdr:row>10</xdr:row>
      <xdr:rowOff>142875</xdr:rowOff>
    </xdr:to>
    <xdr:sp macro="" textlink="">
      <xdr:nvSpPr>
        <xdr:cNvPr id="9" name="TextBox 8">
          <a:extLst>
            <a:ext uri="{FF2B5EF4-FFF2-40B4-BE49-F238E27FC236}">
              <a16:creationId xmlns:a16="http://schemas.microsoft.com/office/drawing/2014/main" id="{7CC6374E-444F-4BC8-9376-4583781B07CC}"/>
            </a:ext>
          </a:extLst>
        </xdr:cNvPr>
        <xdr:cNvSpPr txBox="1"/>
      </xdr:nvSpPr>
      <xdr:spPr>
        <a:xfrm>
          <a:off x="4638675" y="1381125"/>
          <a:ext cx="2609850" cy="666750"/>
        </a:xfrm>
        <a:prstGeom prst="rect">
          <a:avLst/>
        </a:prstGeom>
        <a:solidFill>
          <a:schemeClr val="tx2">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i="0" u="none" strike="noStrike">
              <a:solidFill>
                <a:schemeClr val="bg1"/>
              </a:solidFill>
              <a:effectLst/>
              <a:latin typeface="+mn-lt"/>
              <a:ea typeface="+mn-ea"/>
              <a:cs typeface="+mn-cs"/>
            </a:rPr>
            <a:t>  260</a:t>
          </a:r>
          <a:r>
            <a:rPr lang="en-US" sz="2000"/>
            <a:t> </a:t>
          </a:r>
          <a:endParaRPr lang="en-US" sz="2000" b="1" i="0" u="none" strike="noStrike">
            <a:solidFill>
              <a:schemeClr val="bg1"/>
            </a:solidFill>
            <a:effectLst/>
            <a:latin typeface="+mn-lt"/>
            <a:ea typeface="+mn-ea"/>
            <a:cs typeface="+mn-cs"/>
          </a:endParaRPr>
        </a:p>
        <a:p>
          <a:pPr algn="ctr"/>
          <a:r>
            <a:rPr lang="en-US" sz="1100" b="1" i="0" u="none" strike="noStrike">
              <a:solidFill>
                <a:schemeClr val="bg1"/>
              </a:solidFill>
              <a:effectLst/>
              <a:latin typeface="+mn-lt"/>
              <a:ea typeface="+mn-ea"/>
              <a:cs typeface="+mn-cs"/>
            </a:rPr>
            <a:t>Total Quantity Sold</a:t>
          </a:r>
          <a:endParaRPr lang="en-US" sz="1100">
            <a:solidFill>
              <a:schemeClr val="bg1"/>
            </a:solidFill>
          </a:endParaRPr>
        </a:p>
      </xdr:txBody>
    </xdr:sp>
    <xdr:clientData/>
  </xdr:twoCellAnchor>
  <xdr:twoCellAnchor>
    <xdr:from>
      <xdr:col>0</xdr:col>
      <xdr:colOff>47625</xdr:colOff>
      <xdr:row>10</xdr:row>
      <xdr:rowOff>161925</xdr:rowOff>
    </xdr:from>
    <xdr:to>
      <xdr:col>3</xdr:col>
      <xdr:colOff>133350</xdr:colOff>
      <xdr:row>23</xdr:row>
      <xdr:rowOff>76200</xdr:rowOff>
    </xdr:to>
    <xdr:graphicFrame macro="">
      <xdr:nvGraphicFramePr>
        <xdr:cNvPr id="10" name="Chart 9">
          <a:extLst>
            <a:ext uri="{FF2B5EF4-FFF2-40B4-BE49-F238E27FC236}">
              <a16:creationId xmlns:a16="http://schemas.microsoft.com/office/drawing/2014/main" id="{85D26978-932F-4FD6-8F16-1B90D7FBD8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419100</xdr:colOff>
      <xdr:row>10</xdr:row>
      <xdr:rowOff>161926</xdr:rowOff>
    </xdr:from>
    <xdr:to>
      <xdr:col>7</xdr:col>
      <xdr:colOff>200025</xdr:colOff>
      <xdr:row>23</xdr:row>
      <xdr:rowOff>66676</xdr:rowOff>
    </xdr:to>
    <xdr:graphicFrame macro="">
      <xdr:nvGraphicFramePr>
        <xdr:cNvPr id="11" name="Chart 10">
          <a:extLst>
            <a:ext uri="{FF2B5EF4-FFF2-40B4-BE49-F238E27FC236}">
              <a16:creationId xmlns:a16="http://schemas.microsoft.com/office/drawing/2014/main" id="{96F94AF0-6177-4BFD-9215-024D7BC9A5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361950</xdr:colOff>
      <xdr:row>10</xdr:row>
      <xdr:rowOff>161925</xdr:rowOff>
    </xdr:from>
    <xdr:to>
      <xdr:col>11</xdr:col>
      <xdr:colOff>533400</xdr:colOff>
      <xdr:row>23</xdr:row>
      <xdr:rowOff>66675</xdr:rowOff>
    </xdr:to>
    <xdr:graphicFrame macro="">
      <xdr:nvGraphicFramePr>
        <xdr:cNvPr id="12" name="Chart 11">
          <a:extLst>
            <a:ext uri="{FF2B5EF4-FFF2-40B4-BE49-F238E27FC236}">
              <a16:creationId xmlns:a16="http://schemas.microsoft.com/office/drawing/2014/main" id="{CC5F3A02-754B-478D-8F11-AD7E437FC4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523876</xdr:colOff>
      <xdr:row>23</xdr:row>
      <xdr:rowOff>161926</xdr:rowOff>
    </xdr:from>
    <xdr:to>
      <xdr:col>11</xdr:col>
      <xdr:colOff>523876</xdr:colOff>
      <xdr:row>35</xdr:row>
      <xdr:rowOff>142876</xdr:rowOff>
    </xdr:to>
    <xdr:graphicFrame macro="">
      <xdr:nvGraphicFramePr>
        <xdr:cNvPr id="14" name="Chart 13">
          <a:extLst>
            <a:ext uri="{FF2B5EF4-FFF2-40B4-BE49-F238E27FC236}">
              <a16:creationId xmlns:a16="http://schemas.microsoft.com/office/drawing/2014/main" id="{D9F530DD-01C3-4B26-A620-DA383506A8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47625</xdr:colOff>
      <xdr:row>23</xdr:row>
      <xdr:rowOff>171451</xdr:rowOff>
    </xdr:from>
    <xdr:to>
      <xdr:col>4</xdr:col>
      <xdr:colOff>476250</xdr:colOff>
      <xdr:row>35</xdr:row>
      <xdr:rowOff>133351</xdr:rowOff>
    </xdr:to>
    <xdr:graphicFrame macro="">
      <xdr:nvGraphicFramePr>
        <xdr:cNvPr id="15" name="Chart 14">
          <a:extLst>
            <a:ext uri="{FF2B5EF4-FFF2-40B4-BE49-F238E27FC236}">
              <a16:creationId xmlns:a16="http://schemas.microsoft.com/office/drawing/2014/main" id="{B53B8E92-6E70-467E-9D0C-BF7D31A546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0.40476</cdr:x>
      <cdr:y>0.28761</cdr:y>
    </cdr:from>
    <cdr:to>
      <cdr:x>0.59524</cdr:x>
      <cdr:y>0.71239</cdr:y>
    </cdr:to>
    <cdr:sp macro="" textlink="">
      <cdr:nvSpPr>
        <cdr:cNvPr id="2" name="TextBox 1">
          <a:extLst xmlns:a="http://schemas.openxmlformats.org/drawingml/2006/main">
            <a:ext uri="{FF2B5EF4-FFF2-40B4-BE49-F238E27FC236}">
              <a16:creationId xmlns:a16="http://schemas.microsoft.com/office/drawing/2014/main" id="{CC45F42B-1EC3-EAFF-D0BA-D82BBDD62FA8}"/>
            </a:ext>
          </a:extLst>
        </cdr:cNvPr>
        <cdr:cNvSpPr txBox="1"/>
      </cdr:nvSpPr>
      <cdr:spPr>
        <a:xfrm xmlns:a="http://schemas.openxmlformats.org/drawingml/2006/main">
          <a:off x="1943100" y="619125"/>
          <a:ext cx="914400" cy="914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0.40476</cdr:x>
      <cdr:y>0.28761</cdr:y>
    </cdr:from>
    <cdr:to>
      <cdr:x>0.59524</cdr:x>
      <cdr:y>0.71239</cdr:y>
    </cdr:to>
    <cdr:sp macro="" textlink="">
      <cdr:nvSpPr>
        <cdr:cNvPr id="3" name="TextBox 2">
          <a:extLst xmlns:a="http://schemas.openxmlformats.org/drawingml/2006/main">
            <a:ext uri="{FF2B5EF4-FFF2-40B4-BE49-F238E27FC236}">
              <a16:creationId xmlns:a16="http://schemas.microsoft.com/office/drawing/2014/main" id="{16DC7AEB-40B4-6ECC-8E64-A7CF0941D113}"/>
            </a:ext>
          </a:extLst>
        </cdr:cNvPr>
        <cdr:cNvSpPr txBox="1"/>
      </cdr:nvSpPr>
      <cdr:spPr>
        <a:xfrm xmlns:a="http://schemas.openxmlformats.org/drawingml/2006/main">
          <a:off x="1943100" y="619125"/>
          <a:ext cx="914400" cy="914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lenda Kelly" refreshedDate="46172.474459722223" createdVersion="8" refreshedVersion="8" minRefreshableVersion="3" recordCount="50" xr:uid="{CF3262C8-2167-44E3-8950-291D1CF48424}">
  <cacheSource type="worksheet">
    <worksheetSource name="SalesData"/>
  </cacheSource>
  <cacheFields count="10">
    <cacheField name="Order_ID" numFmtId="0">
      <sharedItems/>
    </cacheField>
    <cacheField name="Order_Date" numFmtId="0">
      <sharedItems count="42">
        <s v="01-14-2026"/>
        <s v="04-10-2026"/>
        <s v="02-23-2026"/>
        <s v="01-26-2026"/>
        <s v="03-06-2026"/>
        <s v="03-05-2026"/>
        <s v="04-11-2026"/>
        <s v="04-21-2026"/>
        <s v="03-18-2026"/>
        <s v="01-05-2026"/>
        <s v="02-24-2026"/>
        <s v="03-10-2026"/>
        <s v="04-28-2026"/>
        <s v="03-12-2026"/>
        <s v="01-20-2026"/>
        <s v="04-15-2026"/>
        <s v="01-23-2026"/>
        <s v="01-13-2026"/>
        <s v="03-26-2026"/>
        <s v="02-27-2026"/>
        <s v="01-02-2026"/>
        <s v="01-25-2026"/>
        <s v="01-11-2026"/>
        <s v="01-01-2026"/>
        <s v="02-01-2026"/>
        <s v="03-16-2026"/>
        <s v="02-14-2026"/>
        <s v="01-21-2026"/>
        <s v="05-01-2026"/>
        <s v="03-23-2026"/>
        <s v="04-07-2026"/>
        <s v="04-27-2026"/>
        <s v="03-07-2026"/>
        <s v="01-24-2026"/>
        <s v="04-18-2026"/>
        <s v="01-03-2026"/>
        <s v="01-06-2026"/>
        <s v="04-16-2026"/>
        <s v="04-06-2026"/>
        <s v="02-09-2026"/>
        <s v="04-09-2026"/>
        <s v="04-22-2026"/>
      </sharedItems>
    </cacheField>
    <cacheField name="Region" numFmtId="0">
      <sharedItems count="4">
        <s v="North"/>
        <s v="South"/>
        <s v="West"/>
        <s v="East"/>
      </sharedItems>
    </cacheField>
    <cacheField name="Category" numFmtId="0">
      <sharedItems count="6">
        <s v="Electronics"/>
        <s v="Home Decor"/>
        <s v="Clothing"/>
        <s v="Sports"/>
        <s v="Furniture"/>
        <s v="Others"/>
      </sharedItems>
    </cacheField>
    <cacheField name="Product_Name" numFmtId="0">
      <sharedItems/>
    </cacheField>
    <cacheField name="Salesperson" numFmtId="0">
      <sharedItems count="7">
        <s v="Emily"/>
        <s v="Michael"/>
        <s v="Sophia"/>
        <s v="John"/>
        <s v="Olivia"/>
        <s v="David"/>
        <s v="Unknown"/>
      </sharedItems>
    </cacheField>
    <cacheField name="Payment_Mode" numFmtId="0">
      <sharedItems count="3">
        <s v="Card"/>
        <s v="Cash"/>
        <s v="Online"/>
      </sharedItems>
    </cacheField>
    <cacheField name="Quantity" numFmtId="0">
      <sharedItems containsSemiMixedTypes="0" containsString="0" containsNumber="1" containsInteger="1" minValue="1" maxValue="10"/>
    </cacheField>
    <cacheField name="Sales_Amount" numFmtId="44">
      <sharedItems containsSemiMixedTypes="0" containsString="0" containsNumber="1" containsInteger="1" minValue="0" maxValue="2996"/>
    </cacheField>
    <cacheField name="Profit" numFmtId="44">
      <sharedItems containsSemiMixedTypes="0" containsString="0" containsNumber="1" minValue="0" maxValue="630.96"/>
    </cacheField>
  </cacheFields>
  <extLst>
    <ext xmlns:x14="http://schemas.microsoft.com/office/spreadsheetml/2009/9/main" uri="{725AE2AE-9491-48be-B2B4-4EB974FC3084}">
      <x14:pivotCacheDefinition pivotCacheId="8110527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s v="ORD-1002"/>
    <x v="0"/>
    <x v="0"/>
    <x v="0"/>
    <s v="Laptop"/>
    <x v="0"/>
    <x v="0"/>
    <n v="10"/>
    <n v="2070"/>
    <n v="414"/>
  </r>
  <r>
    <s v="ORD-1003"/>
    <x v="1"/>
    <x v="1"/>
    <x v="1"/>
    <s v="Tennis Racket"/>
    <x v="1"/>
    <x v="0"/>
    <n v="8"/>
    <n v="1655"/>
    <n v="182.05"/>
  </r>
  <r>
    <s v="ORD-1004"/>
    <x v="2"/>
    <x v="1"/>
    <x v="2"/>
    <s v="Jeans"/>
    <x v="2"/>
    <x v="0"/>
    <n v="1"/>
    <n v="1961"/>
    <n v="254.93"/>
  </r>
  <r>
    <s v="ORD-1005"/>
    <x v="3"/>
    <x v="2"/>
    <x v="3"/>
    <s v="Laptop"/>
    <x v="3"/>
    <x v="1"/>
    <n v="2"/>
    <n v="1310"/>
    <n v="131"/>
  </r>
  <r>
    <s v="ORD-1006"/>
    <x v="4"/>
    <x v="2"/>
    <x v="4"/>
    <s v="Headphones"/>
    <x v="4"/>
    <x v="0"/>
    <n v="1"/>
    <n v="2282"/>
    <n v="570.5"/>
  </r>
  <r>
    <s v="ORD-1007"/>
    <x v="5"/>
    <x v="2"/>
    <x v="0"/>
    <s v="Laptop"/>
    <x v="2"/>
    <x v="1"/>
    <n v="6"/>
    <n v="1850"/>
    <n v="388.5"/>
  </r>
  <r>
    <s v="ORD-1008"/>
    <x v="6"/>
    <x v="1"/>
    <x v="3"/>
    <s v="Table Lamp"/>
    <x v="4"/>
    <x v="2"/>
    <n v="2"/>
    <n v="1113"/>
    <n v="100.17"/>
  </r>
  <r>
    <s v="ORD-1009"/>
    <x v="7"/>
    <x v="0"/>
    <x v="3"/>
    <s v="Basketball"/>
    <x v="1"/>
    <x v="2"/>
    <n v="4"/>
    <n v="2654"/>
    <n v="451.18"/>
  </r>
  <r>
    <s v="ORD-1010"/>
    <x v="8"/>
    <x v="2"/>
    <x v="5"/>
    <s v="Basketball"/>
    <x v="4"/>
    <x v="2"/>
    <n v="6"/>
    <n v="1347"/>
    <n v="309.81"/>
  </r>
  <r>
    <s v="ORD-1011"/>
    <x v="9"/>
    <x v="0"/>
    <x v="2"/>
    <s v="Tennis Racket"/>
    <x v="5"/>
    <x v="0"/>
    <n v="10"/>
    <n v="2860"/>
    <n v="286"/>
  </r>
  <r>
    <s v="ORD-1012"/>
    <x v="10"/>
    <x v="1"/>
    <x v="4"/>
    <s v="Headphones"/>
    <x v="5"/>
    <x v="0"/>
    <n v="4"/>
    <n v="1891"/>
    <n v="340.38"/>
  </r>
  <r>
    <s v="ORD-1013"/>
    <x v="11"/>
    <x v="1"/>
    <x v="0"/>
    <s v="Laptop"/>
    <x v="3"/>
    <x v="2"/>
    <n v="4"/>
    <n v="2996"/>
    <n v="449.4"/>
  </r>
  <r>
    <s v="ORD-1014"/>
    <x v="12"/>
    <x v="2"/>
    <x v="4"/>
    <s v="Dining Table"/>
    <x v="2"/>
    <x v="0"/>
    <n v="1"/>
    <n v="831"/>
    <n v="191.13"/>
  </r>
  <r>
    <s v="ORD-1015"/>
    <x v="13"/>
    <x v="3"/>
    <x v="1"/>
    <s v="Jeans"/>
    <x v="6"/>
    <x v="0"/>
    <n v="10"/>
    <n v="2846"/>
    <n v="512.28"/>
  </r>
  <r>
    <s v="ORD-1016"/>
    <x v="14"/>
    <x v="1"/>
    <x v="3"/>
    <s v="Wall Clock"/>
    <x v="5"/>
    <x v="0"/>
    <n v="8"/>
    <n v="2888"/>
    <n v="462.08"/>
  </r>
  <r>
    <s v="ORD-1017"/>
    <x v="15"/>
    <x v="2"/>
    <x v="2"/>
    <s v="Jeans"/>
    <x v="5"/>
    <x v="2"/>
    <n v="1"/>
    <n v="2669"/>
    <n v="133.44999999999999"/>
  </r>
  <r>
    <s v="ORD-1018"/>
    <x v="16"/>
    <x v="1"/>
    <x v="1"/>
    <s v="T-Shirt"/>
    <x v="4"/>
    <x v="1"/>
    <n v="3"/>
    <n v="734"/>
    <n v="183.5"/>
  </r>
  <r>
    <s v="ORD-1019"/>
    <x v="8"/>
    <x v="2"/>
    <x v="4"/>
    <s v="Basketball"/>
    <x v="1"/>
    <x v="0"/>
    <n v="8"/>
    <n v="1512"/>
    <n v="105.84"/>
  </r>
  <r>
    <s v="ORD-1020"/>
    <x v="17"/>
    <x v="0"/>
    <x v="4"/>
    <s v="T-Shirt"/>
    <x v="2"/>
    <x v="2"/>
    <n v="5"/>
    <n v="144"/>
    <n v="14.4"/>
  </r>
  <r>
    <s v="ORD-1021"/>
    <x v="18"/>
    <x v="0"/>
    <x v="2"/>
    <s v="Dining Table"/>
    <x v="4"/>
    <x v="0"/>
    <n v="10"/>
    <n v="2460"/>
    <n v="516.6"/>
  </r>
  <r>
    <s v="ORD-1022"/>
    <x v="17"/>
    <x v="0"/>
    <x v="2"/>
    <s v="Wall Clock"/>
    <x v="3"/>
    <x v="0"/>
    <n v="4"/>
    <n v="2658"/>
    <n v="558.17999999999995"/>
  </r>
  <r>
    <s v="ORD-1023"/>
    <x v="19"/>
    <x v="3"/>
    <x v="2"/>
    <s v="Table Lamp"/>
    <x v="2"/>
    <x v="1"/>
    <n v="2"/>
    <n v="2163"/>
    <n v="475.86"/>
  </r>
  <r>
    <s v="ORD-1024"/>
    <x v="20"/>
    <x v="3"/>
    <x v="1"/>
    <s v="Wall Clock"/>
    <x v="2"/>
    <x v="2"/>
    <n v="2"/>
    <n v="2155"/>
    <n v="538.75"/>
  </r>
  <r>
    <s v="ORD-1025"/>
    <x v="21"/>
    <x v="3"/>
    <x v="2"/>
    <s v="Tennis Racket"/>
    <x v="4"/>
    <x v="2"/>
    <n v="4"/>
    <n v="0"/>
    <n v="191.73"/>
  </r>
  <r>
    <s v="ORD-1026"/>
    <x v="22"/>
    <x v="0"/>
    <x v="0"/>
    <s v="Office Chair"/>
    <x v="1"/>
    <x v="0"/>
    <n v="10"/>
    <n v="2302"/>
    <n v="460.4"/>
  </r>
  <r>
    <s v="ORD-1027"/>
    <x v="23"/>
    <x v="0"/>
    <x v="3"/>
    <s v="Wall Clock"/>
    <x v="1"/>
    <x v="2"/>
    <n v="3"/>
    <n v="2868"/>
    <n v="630.96"/>
  </r>
  <r>
    <s v="ORD-1028"/>
    <x v="24"/>
    <x v="0"/>
    <x v="3"/>
    <s v="Office Chair"/>
    <x v="1"/>
    <x v="2"/>
    <n v="3"/>
    <n v="2723"/>
    <n v="435.68"/>
  </r>
  <r>
    <s v="ORD-1029"/>
    <x v="25"/>
    <x v="3"/>
    <x v="2"/>
    <s v="Wall Clock"/>
    <x v="4"/>
    <x v="0"/>
    <n v="8"/>
    <n v="780"/>
    <n v="101.4"/>
  </r>
  <r>
    <s v="ORD-1030"/>
    <x v="26"/>
    <x v="3"/>
    <x v="2"/>
    <s v="Basketball"/>
    <x v="2"/>
    <x v="1"/>
    <n v="6"/>
    <n v="1266"/>
    <n v="0"/>
  </r>
  <r>
    <s v="ORD-1031"/>
    <x v="27"/>
    <x v="1"/>
    <x v="1"/>
    <s v="Wall Clock"/>
    <x v="4"/>
    <x v="1"/>
    <n v="4"/>
    <n v="2835"/>
    <n v="283.5"/>
  </r>
  <r>
    <s v="ORD-1032"/>
    <x v="4"/>
    <x v="0"/>
    <x v="3"/>
    <s v="Laptop"/>
    <x v="2"/>
    <x v="2"/>
    <n v="5"/>
    <n v="1162"/>
    <n v="127.82"/>
  </r>
  <r>
    <s v="ORD-1033"/>
    <x v="28"/>
    <x v="1"/>
    <x v="0"/>
    <s v="Dining Table"/>
    <x v="1"/>
    <x v="1"/>
    <n v="2"/>
    <n v="2963"/>
    <n v="533.34"/>
  </r>
  <r>
    <s v="ORD-1034"/>
    <x v="29"/>
    <x v="2"/>
    <x v="0"/>
    <s v="Laptop"/>
    <x v="3"/>
    <x v="1"/>
    <n v="2"/>
    <n v="2435"/>
    <n v="560.04999999999995"/>
  </r>
  <r>
    <s v="ORD-1035"/>
    <x v="30"/>
    <x v="2"/>
    <x v="3"/>
    <s v="Wall Clock"/>
    <x v="1"/>
    <x v="0"/>
    <n v="8"/>
    <n v="1002"/>
    <n v="220.44"/>
  </r>
  <r>
    <s v="ORD-1036"/>
    <x v="31"/>
    <x v="2"/>
    <x v="4"/>
    <s v="Wall Clock"/>
    <x v="4"/>
    <x v="2"/>
    <n v="6"/>
    <n v="2840"/>
    <n v="170.4"/>
  </r>
  <r>
    <s v="ORD-1037"/>
    <x v="32"/>
    <x v="3"/>
    <x v="1"/>
    <s v="Laptop"/>
    <x v="2"/>
    <x v="1"/>
    <n v="5"/>
    <n v="1990"/>
    <n v="417.9"/>
  </r>
  <r>
    <s v="ORD-1038"/>
    <x v="33"/>
    <x v="1"/>
    <x v="2"/>
    <s v="Jeans"/>
    <x v="1"/>
    <x v="2"/>
    <n v="7"/>
    <n v="1357"/>
    <n v="122.13"/>
  </r>
  <r>
    <s v="ORD-1039"/>
    <x v="34"/>
    <x v="0"/>
    <x v="1"/>
    <s v="Office Chair"/>
    <x v="3"/>
    <x v="2"/>
    <n v="6"/>
    <n v="2907"/>
    <n v="348.84"/>
  </r>
  <r>
    <s v="ORD-1040"/>
    <x v="35"/>
    <x v="1"/>
    <x v="0"/>
    <s v="Laptop"/>
    <x v="1"/>
    <x v="0"/>
    <n v="9"/>
    <n v="1655"/>
    <n v="347.55"/>
  </r>
  <r>
    <s v="ORD-1041"/>
    <x v="0"/>
    <x v="2"/>
    <x v="1"/>
    <s v="Dining Table"/>
    <x v="2"/>
    <x v="1"/>
    <n v="1"/>
    <n v="1860"/>
    <n v="167.4"/>
  </r>
  <r>
    <s v="ORD-1042"/>
    <x v="36"/>
    <x v="0"/>
    <x v="4"/>
    <s v="Dining Table"/>
    <x v="2"/>
    <x v="0"/>
    <n v="8"/>
    <n v="954"/>
    <n v="104.94"/>
  </r>
  <r>
    <s v="ORD-1043"/>
    <x v="37"/>
    <x v="3"/>
    <x v="0"/>
    <s v="Office Chair"/>
    <x v="1"/>
    <x v="1"/>
    <n v="9"/>
    <n v="786"/>
    <n v="188.64"/>
  </r>
  <r>
    <s v="ORD-1044"/>
    <x v="38"/>
    <x v="0"/>
    <x v="2"/>
    <s v="Table Lamp"/>
    <x v="4"/>
    <x v="1"/>
    <n v="1"/>
    <n v="2365"/>
    <n v="520.29999999999995"/>
  </r>
  <r>
    <s v="ORD-1045"/>
    <x v="28"/>
    <x v="0"/>
    <x v="1"/>
    <s v="Laptop"/>
    <x v="4"/>
    <x v="0"/>
    <n v="4"/>
    <n v="1810"/>
    <n v="343.9"/>
  </r>
  <r>
    <s v="ORD-1046"/>
    <x v="39"/>
    <x v="1"/>
    <x v="0"/>
    <s v="Headphones"/>
    <x v="4"/>
    <x v="2"/>
    <n v="10"/>
    <n v="977"/>
    <n v="48.85"/>
  </r>
  <r>
    <s v="ORD-1047"/>
    <x v="35"/>
    <x v="2"/>
    <x v="0"/>
    <s v="Headphones"/>
    <x v="3"/>
    <x v="0"/>
    <n v="5"/>
    <n v="1542"/>
    <n v="370.08"/>
  </r>
  <r>
    <s v="ORD-1048"/>
    <x v="1"/>
    <x v="0"/>
    <x v="1"/>
    <s v="T-Shirt"/>
    <x v="5"/>
    <x v="2"/>
    <n v="1"/>
    <n v="1160"/>
    <n v="208.8"/>
  </r>
  <r>
    <s v="ORD-1049"/>
    <x v="40"/>
    <x v="3"/>
    <x v="2"/>
    <s v="Basketball"/>
    <x v="2"/>
    <x v="0"/>
    <n v="9"/>
    <n v="2833"/>
    <n v="481.61"/>
  </r>
  <r>
    <s v="ORD-1050"/>
    <x v="6"/>
    <x v="3"/>
    <x v="1"/>
    <s v="Basketball"/>
    <x v="2"/>
    <x v="0"/>
    <n v="2"/>
    <n v="734"/>
    <n v="110.1"/>
  </r>
  <r>
    <s v="ORD-1051"/>
    <x v="41"/>
    <x v="1"/>
    <x v="4"/>
    <s v="Headphones"/>
    <x v="5"/>
    <x v="1"/>
    <n v="10"/>
    <n v="2704"/>
    <n v="189.2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1061415-BE62-4C7D-BFFF-ED10BC06D565}"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G3:H45" firstHeaderRow="1" firstDataRow="1" firstDataCol="1"/>
  <pivotFields count="10">
    <pivotField showAll="0"/>
    <pivotField axis="axisRow" showAll="0">
      <items count="43">
        <item x="23"/>
        <item x="20"/>
        <item x="35"/>
        <item x="9"/>
        <item x="36"/>
        <item x="22"/>
        <item x="17"/>
        <item x="0"/>
        <item x="14"/>
        <item x="27"/>
        <item x="16"/>
        <item x="33"/>
        <item x="21"/>
        <item x="3"/>
        <item x="24"/>
        <item x="39"/>
        <item x="26"/>
        <item x="2"/>
        <item x="10"/>
        <item x="19"/>
        <item x="5"/>
        <item x="4"/>
        <item x="32"/>
        <item x="11"/>
        <item x="13"/>
        <item x="25"/>
        <item x="8"/>
        <item x="29"/>
        <item x="18"/>
        <item x="38"/>
        <item x="30"/>
        <item x="40"/>
        <item x="1"/>
        <item x="6"/>
        <item x="15"/>
        <item x="37"/>
        <item x="34"/>
        <item x="7"/>
        <item x="41"/>
        <item x="31"/>
        <item x="12"/>
        <item x="28"/>
        <item t="default"/>
      </items>
    </pivotField>
    <pivotField showAll="0">
      <items count="5">
        <item x="3"/>
        <item x="0"/>
        <item x="1"/>
        <item x="2"/>
        <item t="default"/>
      </items>
    </pivotField>
    <pivotField showAll="0">
      <items count="7">
        <item x="2"/>
        <item x="0"/>
        <item x="4"/>
        <item x="1"/>
        <item x="5"/>
        <item x="3"/>
        <item t="default"/>
      </items>
    </pivotField>
    <pivotField showAll="0"/>
    <pivotField showAll="0"/>
    <pivotField showAll="0">
      <items count="4">
        <item x="0"/>
        <item x="1"/>
        <item x="2"/>
        <item t="default"/>
      </items>
    </pivotField>
    <pivotField showAll="0"/>
    <pivotField dataField="1" numFmtId="44" showAll="0"/>
    <pivotField numFmtId="44" showAll="0"/>
  </pivotFields>
  <rowFields count="1">
    <field x="1"/>
  </rowFields>
  <rowItems count="4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rowItems>
  <colItems count="1">
    <i/>
  </colItems>
  <dataFields count="1">
    <dataField name="Sum of Sales_Amount" fld="8" baseField="0" baseItem="0"/>
  </dataFields>
  <chartFormats count="4">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7A65602-A80F-441F-A694-3EBF8E7AF794}"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D3:E9" firstHeaderRow="1" firstDataRow="1" firstDataCol="1"/>
  <pivotFields count="10">
    <pivotField showAll="0"/>
    <pivotField showAll="0"/>
    <pivotField showAll="0">
      <items count="5">
        <item x="3"/>
        <item x="0"/>
        <item x="1"/>
        <item x="2"/>
        <item t="default"/>
      </items>
    </pivotField>
    <pivotField axis="axisRow" showAll="0">
      <items count="7">
        <item x="2"/>
        <item x="0"/>
        <item x="4"/>
        <item x="1"/>
        <item x="5"/>
        <item x="3"/>
        <item t="default"/>
      </items>
    </pivotField>
    <pivotField showAll="0"/>
    <pivotField showAll="0"/>
    <pivotField showAll="0">
      <items count="4">
        <item x="0"/>
        <item x="1"/>
        <item x="2"/>
        <item t="default"/>
      </items>
    </pivotField>
    <pivotField showAll="0"/>
    <pivotField numFmtId="44" showAll="0"/>
    <pivotField dataField="1" numFmtId="44" showAll="0"/>
  </pivotFields>
  <rowFields count="1">
    <field x="3"/>
  </rowFields>
  <rowItems count="6">
    <i>
      <x/>
    </i>
    <i>
      <x v="1"/>
    </i>
    <i>
      <x v="2"/>
    </i>
    <i>
      <x v="3"/>
    </i>
    <i>
      <x v="4"/>
    </i>
    <i>
      <x v="5"/>
    </i>
  </rowItems>
  <colItems count="1">
    <i/>
  </colItems>
  <dataFields count="1">
    <dataField name="Sum of Profit" fld="9" baseField="0" baseItem="0"/>
  </dataFields>
  <chartFormats count="14">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3" count="1" selected="0">
            <x v="0"/>
          </reference>
        </references>
      </pivotArea>
    </chartFormat>
    <chartFormat chart="1" format="2">
      <pivotArea type="data" outline="0" fieldPosition="0">
        <references count="2">
          <reference field="4294967294" count="1" selected="0">
            <x v="0"/>
          </reference>
          <reference field="3" count="1" selected="0">
            <x v="1"/>
          </reference>
        </references>
      </pivotArea>
    </chartFormat>
    <chartFormat chart="1" format="3">
      <pivotArea type="data" outline="0" fieldPosition="0">
        <references count="2">
          <reference field="4294967294" count="1" selected="0">
            <x v="0"/>
          </reference>
          <reference field="3" count="1" selected="0">
            <x v="2"/>
          </reference>
        </references>
      </pivotArea>
    </chartFormat>
    <chartFormat chart="1" format="4">
      <pivotArea type="data" outline="0" fieldPosition="0">
        <references count="2">
          <reference field="4294967294" count="1" selected="0">
            <x v="0"/>
          </reference>
          <reference field="3" count="1" selected="0">
            <x v="3"/>
          </reference>
        </references>
      </pivotArea>
    </chartFormat>
    <chartFormat chart="1" format="5">
      <pivotArea type="data" outline="0" fieldPosition="0">
        <references count="2">
          <reference field="4294967294" count="1" selected="0">
            <x v="0"/>
          </reference>
          <reference field="3" count="1" selected="0">
            <x v="4"/>
          </reference>
        </references>
      </pivotArea>
    </chartFormat>
    <chartFormat chart="1" format="6">
      <pivotArea type="data" outline="0" fieldPosition="0">
        <references count="2">
          <reference field="4294967294" count="1" selected="0">
            <x v="0"/>
          </reference>
          <reference field="3" count="1" selected="0">
            <x v="5"/>
          </reference>
        </references>
      </pivotArea>
    </chartFormat>
    <chartFormat chart="4" format="14" series="1">
      <pivotArea type="data" outline="0" fieldPosition="0">
        <references count="1">
          <reference field="4294967294" count="1" selected="0">
            <x v="0"/>
          </reference>
        </references>
      </pivotArea>
    </chartFormat>
    <chartFormat chart="4" format="15">
      <pivotArea type="data" outline="0" fieldPosition="0">
        <references count="2">
          <reference field="4294967294" count="1" selected="0">
            <x v="0"/>
          </reference>
          <reference field="3" count="1" selected="0">
            <x v="0"/>
          </reference>
        </references>
      </pivotArea>
    </chartFormat>
    <chartFormat chart="4" format="16">
      <pivotArea type="data" outline="0" fieldPosition="0">
        <references count="2">
          <reference field="4294967294" count="1" selected="0">
            <x v="0"/>
          </reference>
          <reference field="3" count="1" selected="0">
            <x v="1"/>
          </reference>
        </references>
      </pivotArea>
    </chartFormat>
    <chartFormat chart="4" format="17">
      <pivotArea type="data" outline="0" fieldPosition="0">
        <references count="2">
          <reference field="4294967294" count="1" selected="0">
            <x v="0"/>
          </reference>
          <reference field="3" count="1" selected="0">
            <x v="2"/>
          </reference>
        </references>
      </pivotArea>
    </chartFormat>
    <chartFormat chart="4" format="18">
      <pivotArea type="data" outline="0" fieldPosition="0">
        <references count="2">
          <reference field="4294967294" count="1" selected="0">
            <x v="0"/>
          </reference>
          <reference field="3" count="1" selected="0">
            <x v="3"/>
          </reference>
        </references>
      </pivotArea>
    </chartFormat>
    <chartFormat chart="4" format="19">
      <pivotArea type="data" outline="0" fieldPosition="0">
        <references count="2">
          <reference field="4294967294" count="1" selected="0">
            <x v="0"/>
          </reference>
          <reference field="3" count="1" selected="0">
            <x v="4"/>
          </reference>
        </references>
      </pivotArea>
    </chartFormat>
    <chartFormat chart="4" format="20">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42123C-049B-4A19-82DF-748468CAB72E}"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A3:B7" firstHeaderRow="1" firstDataRow="1" firstDataCol="1"/>
  <pivotFields count="10">
    <pivotField showAll="0"/>
    <pivotField showAll="0"/>
    <pivotField axis="axisRow" showAll="0">
      <items count="5">
        <item x="3"/>
        <item x="0"/>
        <item x="1"/>
        <item x="2"/>
        <item t="default"/>
      </items>
    </pivotField>
    <pivotField showAll="0"/>
    <pivotField showAll="0"/>
    <pivotField showAll="0"/>
    <pivotField showAll="0">
      <items count="4">
        <item x="0"/>
        <item x="1"/>
        <item x="2"/>
        <item t="default"/>
      </items>
    </pivotField>
    <pivotField showAll="0"/>
    <pivotField dataField="1" numFmtId="44" showAll="0"/>
    <pivotField numFmtId="44" showAll="0"/>
  </pivotFields>
  <rowFields count="1">
    <field x="2"/>
  </rowFields>
  <rowItems count="4">
    <i>
      <x/>
    </i>
    <i>
      <x v="1"/>
    </i>
    <i>
      <x v="2"/>
    </i>
    <i>
      <x v="3"/>
    </i>
  </rowItems>
  <colItems count="1">
    <i/>
  </colItems>
  <dataFields count="1">
    <dataField name="Sum of Sales_Amount" fld="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08BFC90-6696-4D8F-AC6D-7832E631DC5E}" name="PivotTable9"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location ref="N3:O6" firstHeaderRow="1" firstDataRow="1" firstDataCol="1"/>
  <pivotFields count="10">
    <pivotField showAll="0"/>
    <pivotField showAll="0"/>
    <pivotField showAll="0">
      <items count="5">
        <item x="3"/>
        <item x="0"/>
        <item x="1"/>
        <item x="2"/>
        <item t="default"/>
      </items>
    </pivotField>
    <pivotField showAll="0">
      <items count="7">
        <item x="2"/>
        <item x="0"/>
        <item x="4"/>
        <item x="1"/>
        <item x="5"/>
        <item x="3"/>
        <item t="default"/>
      </items>
    </pivotField>
    <pivotField showAll="0"/>
    <pivotField axis="axisRow" showAll="0">
      <items count="8">
        <item h="1" x="5"/>
        <item h="1" x="0"/>
        <item h="1" x="3"/>
        <item x="1"/>
        <item x="4"/>
        <item x="2"/>
        <item h="1" x="6"/>
        <item t="default"/>
      </items>
    </pivotField>
    <pivotField showAll="0">
      <items count="4">
        <item x="0"/>
        <item x="1"/>
        <item x="2"/>
        <item t="default"/>
      </items>
    </pivotField>
    <pivotField showAll="0"/>
    <pivotField dataField="1" numFmtId="44" showAll="0"/>
    <pivotField numFmtId="44" showAll="0"/>
  </pivotFields>
  <rowFields count="1">
    <field x="5"/>
  </rowFields>
  <rowItems count="3">
    <i>
      <x v="3"/>
    </i>
    <i>
      <x v="4"/>
    </i>
    <i>
      <x v="5"/>
    </i>
  </rowItems>
  <colItems count="1">
    <i/>
  </colItems>
  <dataFields count="1">
    <dataField name="Sum of Sales_Amount" fld="8" baseField="0" baseItem="0"/>
  </dataFields>
  <chartFormats count="8">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5" count="1" selected="0">
            <x v="3"/>
          </reference>
        </references>
      </pivotArea>
    </chartFormat>
    <chartFormat chart="4" format="2">
      <pivotArea type="data" outline="0" fieldPosition="0">
        <references count="2">
          <reference field="4294967294" count="1" selected="0">
            <x v="0"/>
          </reference>
          <reference field="5" count="1" selected="0">
            <x v="4"/>
          </reference>
        </references>
      </pivotArea>
    </chartFormat>
    <chartFormat chart="4" format="3">
      <pivotArea type="data" outline="0" fieldPosition="0">
        <references count="2">
          <reference field="4294967294" count="1" selected="0">
            <x v="0"/>
          </reference>
          <reference field="5" count="1" selected="0">
            <x v="5"/>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5" count="1" selected="0">
            <x v="3"/>
          </reference>
        </references>
      </pivotArea>
    </chartFormat>
    <chartFormat chart="7" format="10">
      <pivotArea type="data" outline="0" fieldPosition="0">
        <references count="2">
          <reference field="4294967294" count="1" selected="0">
            <x v="0"/>
          </reference>
          <reference field="5" count="1" selected="0">
            <x v="4"/>
          </reference>
        </references>
      </pivotArea>
    </chartFormat>
    <chartFormat chart="7" format="11">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12BB153-C5BC-4A41-B062-29F5E1E178E8}" name="PivotTable8"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J3:K6" firstHeaderRow="1" firstDataRow="1" firstDataCol="1"/>
  <pivotFields count="10">
    <pivotField showAll="0"/>
    <pivotField showAll="0"/>
    <pivotField showAll="0">
      <items count="5">
        <item x="3"/>
        <item x="0"/>
        <item x="1"/>
        <item x="2"/>
        <item t="default"/>
      </items>
    </pivotField>
    <pivotField showAll="0">
      <items count="7">
        <item x="2"/>
        <item x="0"/>
        <item x="4"/>
        <item x="1"/>
        <item x="5"/>
        <item x="3"/>
        <item t="default"/>
      </items>
    </pivotField>
    <pivotField showAll="0"/>
    <pivotField showAll="0"/>
    <pivotField axis="axisRow" showAll="0">
      <items count="4">
        <item x="0"/>
        <item x="1"/>
        <item x="2"/>
        <item t="default"/>
      </items>
    </pivotField>
    <pivotField dataField="1" showAll="0"/>
    <pivotField numFmtId="44" showAll="0"/>
    <pivotField numFmtId="44" showAll="0"/>
  </pivotFields>
  <rowFields count="1">
    <field x="6"/>
  </rowFields>
  <rowItems count="3">
    <i>
      <x/>
    </i>
    <i>
      <x v="1"/>
    </i>
    <i>
      <x v="2"/>
    </i>
  </rowItems>
  <colItems count="1">
    <i/>
  </colItems>
  <dataFields count="1">
    <dataField name="Sum of Quantity" fld="7" baseField="0" baseItem="0"/>
  </dataFields>
  <chartFormats count="3">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A871D29-19A9-493E-814D-49B8CA2BC381}" sourceName="Region">
  <pivotTables>
    <pivotTable tabId="3" name="PivotTable9"/>
  </pivotTables>
  <data>
    <tabular pivotCacheId="811052776">
      <items count="4">
        <i x="3"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433A9E6-A8F7-49F4-909D-1C58AE8E1AB4}" sourceName="Category">
  <pivotTables>
    <pivotTable tabId="3" name="PivotTable9"/>
  </pivotTables>
  <data>
    <tabular pivotCacheId="811052776">
      <items count="6">
        <i x="2" s="1"/>
        <i x="0" s="1"/>
        <i x="4" s="1"/>
        <i x="1" s="1"/>
        <i x="5"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2FBE388D-8CA1-42E9-B06D-ED6397E83D55}" sourceName="Payment_Mode">
  <pivotTables>
    <pivotTable tabId="3" name="PivotTable9"/>
    <pivotTable tabId="3" name="PivotTable3"/>
    <pivotTable tabId="3" name="PivotTable4"/>
    <pivotTable tabId="3" name="PivotTable6"/>
    <pivotTable tabId="3" name="PivotTable8"/>
  </pivotTables>
  <data>
    <tabular pivotCacheId="811052776">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DC44914-EF74-4E70-9CED-E240B74EB854}" cache="Slicer_Region" caption="Region" rowHeight="241300"/>
  <slicer name="Category" xr10:uid="{C54A1C81-E080-4917-BDB3-21221F88FD05}" cache="Slicer_Category" caption="Category" rowHeight="241300"/>
  <slicer name="Payment_Mode" xr10:uid="{1F8D9913-B8E0-4F46-88AD-2390888C4B74}" cache="Slicer_Payment_Mode" caption="Payment_Mod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66B04A23-52F0-41E1-9883-31C831EB6CC2}" cache="Slicer_Region" caption="Region" columnCount="5" rowHeight="241300"/>
  <slicer name="Category 1" xr10:uid="{02CFDCF3-B025-41B7-879D-AA7BAD09ECB1}" cache="Slicer_Category" caption="Category" columnCount="6" rowHeight="241300"/>
  <slicer name="Payment_Mode 1" xr10:uid="{0FCA8EC6-C4CB-4A03-BCAC-77914755041E}" cache="Slicer_Payment_Mode" caption="Payment_Mode" columnCount="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BF13B08-F82D-41B9-A6F7-0AC06056D30E}" name="SalesData" displayName="SalesData" ref="A1:J51" totalsRowShown="0" headerRowDxfId="2">
  <autoFilter ref="A1:J51" xr:uid="{6BF13B08-F82D-41B9-A6F7-0AC06056D30E}"/>
  <tableColumns count="10">
    <tableColumn id="1" xr3:uid="{960B9139-560A-418B-85B1-80EEA69AE27B}" name="Order_ID"/>
    <tableColumn id="2" xr3:uid="{BA87266C-4B45-4914-9114-332CEEB004F3}" name="Order_Date"/>
    <tableColumn id="3" xr3:uid="{952B0D5B-75D2-4C35-A606-327148147D32}" name="Region"/>
    <tableColumn id="4" xr3:uid="{789D6985-7A1D-4F31-85F0-06D80C7869F5}" name="Category"/>
    <tableColumn id="5" xr3:uid="{F4DC8286-896C-4BE7-8813-9A6D69B08FE7}" name="Product_Name"/>
    <tableColumn id="6" xr3:uid="{4A3965EB-5F79-4E43-920B-BE1D2A019636}" name="Salesperson"/>
    <tableColumn id="7" xr3:uid="{3A83C212-A091-47FF-896F-3E01AB9D3DB4}" name="Payment_Mode"/>
    <tableColumn id="8" xr3:uid="{FB6E46C8-DC14-4234-A817-E6EAE4055A1B}" name="Quantity"/>
    <tableColumn id="9" xr3:uid="{2F6ACDCD-5E70-4F3E-9518-EF7A4872F828}" name="Sales_Amount" dataDxfId="1"/>
    <tableColumn id="10" xr3:uid="{091BFFDA-4CE1-416B-84D9-FDB0D94E014C}" name="Profit" dataDxfId="0"/>
  </tableColumns>
  <tableStyleInfo name="TableStyleMedium9"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Integral">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FAA3C4-8C95-414C-8160-BE788E268176}">
  <dimension ref="A1:O45"/>
  <sheetViews>
    <sheetView topLeftCell="C1" workbookViewId="0">
      <selection activeCell="O33" sqref="O33"/>
    </sheetView>
  </sheetViews>
  <sheetFormatPr defaultRowHeight="14.25" x14ac:dyDescent="0.2"/>
  <cols>
    <col min="1" max="1" width="11.75" bestFit="1" customWidth="1"/>
    <col min="2" max="2" width="18.375" bestFit="1" customWidth="1"/>
    <col min="4" max="4" width="11.75" bestFit="1" customWidth="1"/>
    <col min="5" max="5" width="11.125" bestFit="1" customWidth="1"/>
    <col min="6" max="6" width="12.5" customWidth="1"/>
    <col min="7" max="7" width="11.75" bestFit="1" customWidth="1"/>
    <col min="8" max="8" width="18.375" bestFit="1" customWidth="1"/>
    <col min="9" max="9" width="20.5" customWidth="1"/>
    <col min="10" max="10" width="11.75" bestFit="1" customWidth="1"/>
    <col min="11" max="11" width="13.875" bestFit="1" customWidth="1"/>
    <col min="12" max="12" width="15.375" customWidth="1"/>
    <col min="14" max="14" width="11.75" bestFit="1" customWidth="1"/>
    <col min="15" max="15" width="18.375" bestFit="1" customWidth="1"/>
    <col min="16" max="16" width="20.5" customWidth="1"/>
  </cols>
  <sheetData>
    <row r="1" spans="1:15" x14ac:dyDescent="0.2">
      <c r="A1" s="17" t="s">
        <v>139</v>
      </c>
      <c r="B1" s="16"/>
      <c r="D1" s="15" t="s">
        <v>138</v>
      </c>
      <c r="E1" s="13"/>
      <c r="G1" s="14" t="s">
        <v>140</v>
      </c>
      <c r="H1" s="13"/>
      <c r="J1" s="14" t="s">
        <v>142</v>
      </c>
      <c r="K1" s="14"/>
      <c r="N1" s="14" t="s">
        <v>143</v>
      </c>
      <c r="O1" s="14"/>
    </row>
    <row r="3" spans="1:15" x14ac:dyDescent="0.2">
      <c r="A3" s="10" t="s">
        <v>135</v>
      </c>
      <c r="B3" t="s">
        <v>136</v>
      </c>
      <c r="D3" s="10" t="s">
        <v>135</v>
      </c>
      <c r="E3" t="s">
        <v>137</v>
      </c>
      <c r="G3" s="10" t="s">
        <v>135</v>
      </c>
      <c r="H3" t="s">
        <v>136</v>
      </c>
      <c r="J3" s="10" t="s">
        <v>135</v>
      </c>
      <c r="K3" t="s">
        <v>141</v>
      </c>
      <c r="N3" s="10" t="s">
        <v>135</v>
      </c>
      <c r="O3" t="s">
        <v>136</v>
      </c>
    </row>
    <row r="4" spans="1:15" x14ac:dyDescent="0.2">
      <c r="A4" s="12" t="s">
        <v>62</v>
      </c>
      <c r="B4" s="11">
        <v>15553</v>
      </c>
      <c r="D4" s="12" t="s">
        <v>25</v>
      </c>
      <c r="E4" s="11">
        <v>3642.19</v>
      </c>
      <c r="G4" s="12" t="s">
        <v>87</v>
      </c>
      <c r="H4" s="11">
        <v>2868</v>
      </c>
      <c r="J4" s="12" t="s">
        <v>16</v>
      </c>
      <c r="K4" s="11">
        <v>138</v>
      </c>
      <c r="N4" s="12" t="s">
        <v>22</v>
      </c>
      <c r="O4" s="11">
        <v>21477</v>
      </c>
    </row>
    <row r="5" spans="1:15" x14ac:dyDescent="0.2">
      <c r="A5" s="12" t="s">
        <v>12</v>
      </c>
      <c r="B5" s="11">
        <v>31097</v>
      </c>
      <c r="D5" s="12" t="s">
        <v>13</v>
      </c>
      <c r="E5" s="11">
        <v>3760.8100000000004</v>
      </c>
      <c r="G5" s="12" t="s">
        <v>80</v>
      </c>
      <c r="H5" s="11">
        <v>2155</v>
      </c>
      <c r="J5" s="12" t="s">
        <v>33</v>
      </c>
      <c r="K5" s="11">
        <v>53</v>
      </c>
      <c r="N5" s="12" t="s">
        <v>38</v>
      </c>
      <c r="O5" s="11">
        <v>19543</v>
      </c>
    </row>
    <row r="6" spans="1:15" x14ac:dyDescent="0.2">
      <c r="A6" s="12" t="s">
        <v>19</v>
      </c>
      <c r="B6" s="11">
        <v>25729</v>
      </c>
      <c r="D6" s="12" t="s">
        <v>36</v>
      </c>
      <c r="E6" s="11">
        <v>1686.8700000000001</v>
      </c>
      <c r="G6" s="12" t="s">
        <v>112</v>
      </c>
      <c r="H6" s="11">
        <v>3197</v>
      </c>
      <c r="J6" s="12" t="s">
        <v>44</v>
      </c>
      <c r="K6" s="11">
        <v>69</v>
      </c>
      <c r="N6" s="12" t="s">
        <v>27</v>
      </c>
      <c r="O6" s="11">
        <v>19903</v>
      </c>
    </row>
    <row r="7" spans="1:15" x14ac:dyDescent="0.2">
      <c r="A7" s="12" t="s">
        <v>30</v>
      </c>
      <c r="B7" s="11">
        <v>21480</v>
      </c>
      <c r="D7" s="12" t="s">
        <v>20</v>
      </c>
      <c r="E7" s="11">
        <v>3297.0200000000004</v>
      </c>
      <c r="G7" s="12" t="s">
        <v>51</v>
      </c>
      <c r="H7" s="11">
        <v>2860</v>
      </c>
    </row>
    <row r="8" spans="1:15" x14ac:dyDescent="0.2">
      <c r="D8" s="12" t="s">
        <v>130</v>
      </c>
      <c r="E8" s="11">
        <v>309.81</v>
      </c>
      <c r="G8" s="12" t="s">
        <v>115</v>
      </c>
      <c r="H8" s="11">
        <v>954</v>
      </c>
    </row>
    <row r="9" spans="1:15" x14ac:dyDescent="0.2">
      <c r="D9" s="12" t="s">
        <v>31</v>
      </c>
      <c r="E9" s="11">
        <v>2559.3300000000004</v>
      </c>
      <c r="G9" s="12" t="s">
        <v>84</v>
      </c>
      <c r="H9" s="11">
        <v>2302</v>
      </c>
    </row>
    <row r="10" spans="1:15" x14ac:dyDescent="0.2">
      <c r="G10" s="12" t="s">
        <v>73</v>
      </c>
      <c r="H10" s="11">
        <v>2802</v>
      </c>
    </row>
    <row r="11" spans="1:15" x14ac:dyDescent="0.2">
      <c r="G11" s="12" t="s">
        <v>11</v>
      </c>
      <c r="H11" s="11">
        <v>3930</v>
      </c>
    </row>
    <row r="12" spans="1:15" x14ac:dyDescent="0.2">
      <c r="G12" s="12" t="s">
        <v>64</v>
      </c>
      <c r="H12" s="11">
        <v>2888</v>
      </c>
    </row>
    <row r="13" spans="1:15" x14ac:dyDescent="0.2">
      <c r="G13" s="12" t="s">
        <v>95</v>
      </c>
      <c r="H13" s="11">
        <v>2835</v>
      </c>
    </row>
    <row r="14" spans="1:15" x14ac:dyDescent="0.2">
      <c r="G14" s="12" t="s">
        <v>69</v>
      </c>
      <c r="H14" s="11">
        <v>734</v>
      </c>
    </row>
    <row r="15" spans="1:15" x14ac:dyDescent="0.2">
      <c r="G15" s="12" t="s">
        <v>108</v>
      </c>
      <c r="H15" s="11">
        <v>1357</v>
      </c>
    </row>
    <row r="16" spans="1:15" x14ac:dyDescent="0.2">
      <c r="G16" s="12" t="s">
        <v>82</v>
      </c>
      <c r="H16" s="11">
        <v>0</v>
      </c>
    </row>
    <row r="17" spans="7:8" x14ac:dyDescent="0.2">
      <c r="G17" s="12" t="s">
        <v>29</v>
      </c>
      <c r="H17" s="11">
        <v>1310</v>
      </c>
    </row>
    <row r="18" spans="7:8" x14ac:dyDescent="0.2">
      <c r="G18" s="12" t="s">
        <v>89</v>
      </c>
      <c r="H18" s="11">
        <v>2723</v>
      </c>
    </row>
    <row r="19" spans="7:8" x14ac:dyDescent="0.2">
      <c r="G19" s="12" t="s">
        <v>122</v>
      </c>
      <c r="H19" s="11">
        <v>977</v>
      </c>
    </row>
    <row r="20" spans="7:8" x14ac:dyDescent="0.2">
      <c r="G20" s="12" t="s">
        <v>93</v>
      </c>
      <c r="H20" s="11">
        <v>1266</v>
      </c>
    </row>
    <row r="21" spans="7:8" x14ac:dyDescent="0.2">
      <c r="G21" s="12" t="s">
        <v>24</v>
      </c>
      <c r="H21" s="11">
        <v>1961</v>
      </c>
    </row>
    <row r="22" spans="7:8" x14ac:dyDescent="0.2">
      <c r="G22" s="12" t="s">
        <v>54</v>
      </c>
      <c r="H22" s="11">
        <v>1891</v>
      </c>
    </row>
    <row r="23" spans="7:8" x14ac:dyDescent="0.2">
      <c r="G23" s="12" t="s">
        <v>78</v>
      </c>
      <c r="H23" s="11">
        <v>2163</v>
      </c>
    </row>
    <row r="24" spans="7:8" x14ac:dyDescent="0.2">
      <c r="G24" s="12" t="s">
        <v>40</v>
      </c>
      <c r="H24" s="11">
        <v>1850</v>
      </c>
    </row>
    <row r="25" spans="7:8" x14ac:dyDescent="0.2">
      <c r="G25" s="12" t="s">
        <v>35</v>
      </c>
      <c r="H25" s="11">
        <v>3444</v>
      </c>
    </row>
    <row r="26" spans="7:8" x14ac:dyDescent="0.2">
      <c r="G26" s="12" t="s">
        <v>106</v>
      </c>
      <c r="H26" s="11">
        <v>1990</v>
      </c>
    </row>
    <row r="27" spans="7:8" x14ac:dyDescent="0.2">
      <c r="G27" s="12" t="s">
        <v>56</v>
      </c>
      <c r="H27" s="11">
        <v>2996</v>
      </c>
    </row>
    <row r="28" spans="7:8" x14ac:dyDescent="0.2">
      <c r="G28" s="12" t="s">
        <v>61</v>
      </c>
      <c r="H28" s="11">
        <v>2846</v>
      </c>
    </row>
    <row r="29" spans="7:8" x14ac:dyDescent="0.2">
      <c r="G29" s="12" t="s">
        <v>91</v>
      </c>
      <c r="H29" s="11">
        <v>780</v>
      </c>
    </row>
    <row r="30" spans="7:8" x14ac:dyDescent="0.2">
      <c r="G30" s="12" t="s">
        <v>49</v>
      </c>
      <c r="H30" s="11">
        <v>2859</v>
      </c>
    </row>
    <row r="31" spans="7:8" x14ac:dyDescent="0.2">
      <c r="G31" s="12" t="s">
        <v>100</v>
      </c>
      <c r="H31" s="11">
        <v>2435</v>
      </c>
    </row>
    <row r="32" spans="7:8" x14ac:dyDescent="0.2">
      <c r="G32" s="12" t="s">
        <v>75</v>
      </c>
      <c r="H32" s="11">
        <v>2460</v>
      </c>
    </row>
    <row r="33" spans="7:8" x14ac:dyDescent="0.2">
      <c r="G33" s="12" t="s">
        <v>119</v>
      </c>
      <c r="H33" s="11">
        <v>2365</v>
      </c>
    </row>
    <row r="34" spans="7:8" x14ac:dyDescent="0.2">
      <c r="G34" s="12" t="s">
        <v>102</v>
      </c>
      <c r="H34" s="11">
        <v>1002</v>
      </c>
    </row>
    <row r="35" spans="7:8" x14ac:dyDescent="0.2">
      <c r="G35" s="12" t="s">
        <v>126</v>
      </c>
      <c r="H35" s="11">
        <v>2833</v>
      </c>
    </row>
    <row r="36" spans="7:8" x14ac:dyDescent="0.2">
      <c r="G36" s="12" t="s">
        <v>18</v>
      </c>
      <c r="H36" s="11">
        <v>2815</v>
      </c>
    </row>
    <row r="37" spans="7:8" x14ac:dyDescent="0.2">
      <c r="G37" s="12" t="s">
        <v>42</v>
      </c>
      <c r="H37" s="11">
        <v>1847</v>
      </c>
    </row>
    <row r="38" spans="7:8" x14ac:dyDescent="0.2">
      <c r="G38" s="12" t="s">
        <v>67</v>
      </c>
      <c r="H38" s="11">
        <v>2669</v>
      </c>
    </row>
    <row r="39" spans="7:8" x14ac:dyDescent="0.2">
      <c r="G39" s="12" t="s">
        <v>117</v>
      </c>
      <c r="H39" s="11">
        <v>786</v>
      </c>
    </row>
    <row r="40" spans="7:8" x14ac:dyDescent="0.2">
      <c r="G40" s="12" t="s">
        <v>110</v>
      </c>
      <c r="H40" s="11">
        <v>2907</v>
      </c>
    </row>
    <row r="41" spans="7:8" x14ac:dyDescent="0.2">
      <c r="G41" s="12" t="s">
        <v>46</v>
      </c>
      <c r="H41" s="11">
        <v>2654</v>
      </c>
    </row>
    <row r="42" spans="7:8" x14ac:dyDescent="0.2">
      <c r="G42" s="12" t="s">
        <v>129</v>
      </c>
      <c r="H42" s="11">
        <v>2704</v>
      </c>
    </row>
    <row r="43" spans="7:8" x14ac:dyDescent="0.2">
      <c r="G43" s="12" t="s">
        <v>104</v>
      </c>
      <c r="H43" s="11">
        <v>2840</v>
      </c>
    </row>
    <row r="44" spans="7:8" x14ac:dyDescent="0.2">
      <c r="G44" s="12" t="s">
        <v>58</v>
      </c>
      <c r="H44" s="11">
        <v>831</v>
      </c>
    </row>
    <row r="45" spans="7:8" x14ac:dyDescent="0.2">
      <c r="G45" s="12" t="s">
        <v>98</v>
      </c>
      <c r="H45" s="11">
        <v>4773</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19C74-4756-4D68-9A0D-488592A488DA}">
  <dimension ref="M12"/>
  <sheetViews>
    <sheetView showGridLines="0" tabSelected="1" workbookViewId="0">
      <selection activeCell="M8" sqref="M8"/>
    </sheetView>
  </sheetViews>
  <sheetFormatPr defaultRowHeight="14.25" x14ac:dyDescent="0.2"/>
  <sheetData>
    <row r="12" spans="13:13" ht="30" x14ac:dyDescent="0.4">
      <c r="M12" s="1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1"/>
  <sheetViews>
    <sheetView topLeftCell="E1" workbookViewId="0">
      <selection activeCell="M6" sqref="M6"/>
    </sheetView>
  </sheetViews>
  <sheetFormatPr defaultRowHeight="15" x14ac:dyDescent="0.2"/>
  <cols>
    <col min="1" max="1" width="13.5" customWidth="1"/>
    <col min="2" max="2" width="15.75" customWidth="1"/>
    <col min="3" max="3" width="11.625" customWidth="1"/>
    <col min="4" max="4" width="13.375" customWidth="1"/>
    <col min="5" max="5" width="18.75" customWidth="1"/>
    <col min="6" max="6" width="16.25" customWidth="1"/>
    <col min="7" max="7" width="19.75" customWidth="1"/>
    <col min="8" max="8" width="13.25" customWidth="1"/>
    <col min="9" max="9" width="18.375" style="3" customWidth="1"/>
    <col min="10" max="10" width="10.5" style="3" customWidth="1"/>
    <col min="12" max="12" width="18" customWidth="1"/>
    <col min="13" max="13" width="11.5" customWidth="1"/>
  </cols>
  <sheetData>
    <row r="1" spans="1:13" x14ac:dyDescent="0.25">
      <c r="A1" s="1" t="s">
        <v>0</v>
      </c>
      <c r="B1" s="1" t="s">
        <v>1</v>
      </c>
      <c r="C1" s="1" t="s">
        <v>2</v>
      </c>
      <c r="D1" s="1" t="s">
        <v>3</v>
      </c>
      <c r="E1" s="1" t="s">
        <v>4</v>
      </c>
      <c r="F1" s="1" t="s">
        <v>5</v>
      </c>
      <c r="G1" s="1" t="s">
        <v>6</v>
      </c>
      <c r="H1" s="1" t="s">
        <v>7</v>
      </c>
      <c r="I1" s="2" t="s">
        <v>8</v>
      </c>
      <c r="J1" s="2" t="s">
        <v>9</v>
      </c>
    </row>
    <row r="2" spans="1:13" ht="14.25" x14ac:dyDescent="0.2">
      <c r="A2" t="s">
        <v>10</v>
      </c>
      <c r="B2" t="s">
        <v>11</v>
      </c>
      <c r="C2" t="s">
        <v>12</v>
      </c>
      <c r="D2" t="s">
        <v>13</v>
      </c>
      <c r="E2" t="s">
        <v>14</v>
      </c>
      <c r="F2" t="s">
        <v>15</v>
      </c>
      <c r="G2" t="s">
        <v>16</v>
      </c>
      <c r="H2">
        <v>10</v>
      </c>
      <c r="I2" s="3">
        <v>2070</v>
      </c>
      <c r="J2" s="3">
        <v>414</v>
      </c>
      <c r="L2" s="7" t="s">
        <v>132</v>
      </c>
      <c r="M2" s="5">
        <f>SUM(SalesData[Sales_Amount])</f>
        <v>93859</v>
      </c>
    </row>
    <row r="3" spans="1:13" ht="14.25" x14ac:dyDescent="0.2">
      <c r="A3" t="s">
        <v>17</v>
      </c>
      <c r="B3" t="s">
        <v>18</v>
      </c>
      <c r="C3" t="s">
        <v>19</v>
      </c>
      <c r="D3" t="s">
        <v>20</v>
      </c>
      <c r="E3" t="s">
        <v>21</v>
      </c>
      <c r="F3" t="s">
        <v>22</v>
      </c>
      <c r="G3" t="s">
        <v>16</v>
      </c>
      <c r="H3">
        <v>8</v>
      </c>
      <c r="I3" s="3">
        <v>1655</v>
      </c>
      <c r="J3" s="3">
        <v>182.05</v>
      </c>
      <c r="L3" s="4"/>
      <c r="M3" s="4"/>
    </row>
    <row r="4" spans="1:13" ht="14.25" x14ac:dyDescent="0.2">
      <c r="A4" t="s">
        <v>23</v>
      </c>
      <c r="B4" t="s">
        <v>24</v>
      </c>
      <c r="C4" t="s">
        <v>19</v>
      </c>
      <c r="D4" t="s">
        <v>25</v>
      </c>
      <c r="E4" t="s">
        <v>26</v>
      </c>
      <c r="F4" t="s">
        <v>27</v>
      </c>
      <c r="G4" t="s">
        <v>16</v>
      </c>
      <c r="H4">
        <v>1</v>
      </c>
      <c r="I4" s="3">
        <v>1961</v>
      </c>
      <c r="J4" s="3">
        <v>254.93</v>
      </c>
      <c r="L4" s="8" t="s">
        <v>133</v>
      </c>
      <c r="M4" s="5">
        <f>SUM(SalesData[Profit])</f>
        <v>15256.029999999995</v>
      </c>
    </row>
    <row r="5" spans="1:13" ht="14.25" x14ac:dyDescent="0.2">
      <c r="A5" t="s">
        <v>28</v>
      </c>
      <c r="B5" t="s">
        <v>29</v>
      </c>
      <c r="C5" t="s">
        <v>30</v>
      </c>
      <c r="D5" t="s">
        <v>31</v>
      </c>
      <c r="E5" t="s">
        <v>14</v>
      </c>
      <c r="F5" t="s">
        <v>32</v>
      </c>
      <c r="G5" t="s">
        <v>33</v>
      </c>
      <c r="H5">
        <v>2</v>
      </c>
      <c r="I5" s="3">
        <v>1310</v>
      </c>
      <c r="J5" s="3">
        <v>131</v>
      </c>
      <c r="L5" s="4"/>
      <c r="M5" s="4"/>
    </row>
    <row r="6" spans="1:13" ht="14.25" x14ac:dyDescent="0.2">
      <c r="A6" t="s">
        <v>34</v>
      </c>
      <c r="B6" t="s">
        <v>35</v>
      </c>
      <c r="C6" t="s">
        <v>30</v>
      </c>
      <c r="D6" t="s">
        <v>36</v>
      </c>
      <c r="E6" t="s">
        <v>37</v>
      </c>
      <c r="F6" t="s">
        <v>38</v>
      </c>
      <c r="G6" t="s">
        <v>16</v>
      </c>
      <c r="H6">
        <v>1</v>
      </c>
      <c r="I6" s="3">
        <v>2282</v>
      </c>
      <c r="J6" s="3">
        <v>570.5</v>
      </c>
      <c r="L6" s="9" t="s">
        <v>134</v>
      </c>
      <c r="M6" s="6">
        <f>SUM(SalesData[Quantity])</f>
        <v>260</v>
      </c>
    </row>
    <row r="7" spans="1:13" ht="14.25" x14ac:dyDescent="0.2">
      <c r="A7" t="s">
        <v>39</v>
      </c>
      <c r="B7" t="s">
        <v>40</v>
      </c>
      <c r="C7" t="s">
        <v>30</v>
      </c>
      <c r="D7" t="s">
        <v>13</v>
      </c>
      <c r="E7" t="s">
        <v>14</v>
      </c>
      <c r="F7" t="s">
        <v>27</v>
      </c>
      <c r="G7" t="s">
        <v>33</v>
      </c>
      <c r="H7">
        <v>6</v>
      </c>
      <c r="I7" s="3">
        <v>1850</v>
      </c>
      <c r="J7" s="3">
        <v>388.5</v>
      </c>
    </row>
    <row r="8" spans="1:13" ht="14.25" x14ac:dyDescent="0.2">
      <c r="A8" t="s">
        <v>41</v>
      </c>
      <c r="B8" t="s">
        <v>42</v>
      </c>
      <c r="C8" t="s">
        <v>19</v>
      </c>
      <c r="D8" t="s">
        <v>31</v>
      </c>
      <c r="E8" t="s">
        <v>43</v>
      </c>
      <c r="F8" t="s">
        <v>38</v>
      </c>
      <c r="G8" t="s">
        <v>44</v>
      </c>
      <c r="H8">
        <v>2</v>
      </c>
      <c r="I8" s="3">
        <v>1113</v>
      </c>
      <c r="J8" s="3">
        <v>100.17</v>
      </c>
    </row>
    <row r="9" spans="1:13" ht="14.25" x14ac:dyDescent="0.2">
      <c r="A9" t="s">
        <v>45</v>
      </c>
      <c r="B9" t="s">
        <v>46</v>
      </c>
      <c r="C9" t="s">
        <v>12</v>
      </c>
      <c r="D9" t="s">
        <v>31</v>
      </c>
      <c r="E9" t="s">
        <v>47</v>
      </c>
      <c r="F9" t="s">
        <v>22</v>
      </c>
      <c r="G9" t="s">
        <v>44</v>
      </c>
      <c r="H9">
        <v>4</v>
      </c>
      <c r="I9" s="3">
        <v>2654</v>
      </c>
      <c r="J9" s="3">
        <v>451.18</v>
      </c>
    </row>
    <row r="10" spans="1:13" ht="14.25" x14ac:dyDescent="0.2">
      <c r="A10" t="s">
        <v>48</v>
      </c>
      <c r="B10" t="s">
        <v>49</v>
      </c>
      <c r="C10" t="s">
        <v>30</v>
      </c>
      <c r="D10" t="s">
        <v>130</v>
      </c>
      <c r="E10" t="s">
        <v>47</v>
      </c>
      <c r="F10" t="s">
        <v>38</v>
      </c>
      <c r="G10" t="s">
        <v>44</v>
      </c>
      <c r="H10">
        <v>6</v>
      </c>
      <c r="I10" s="3">
        <v>1347</v>
      </c>
      <c r="J10" s="3">
        <v>309.81</v>
      </c>
    </row>
    <row r="11" spans="1:13" ht="14.25" x14ac:dyDescent="0.2">
      <c r="A11" t="s">
        <v>50</v>
      </c>
      <c r="B11" t="s">
        <v>51</v>
      </c>
      <c r="C11" t="s">
        <v>12</v>
      </c>
      <c r="D11" t="s">
        <v>25</v>
      </c>
      <c r="E11" t="s">
        <v>21</v>
      </c>
      <c r="F11" t="s">
        <v>52</v>
      </c>
      <c r="G11" t="s">
        <v>16</v>
      </c>
      <c r="H11">
        <v>10</v>
      </c>
      <c r="I11" s="3">
        <v>2860</v>
      </c>
      <c r="J11" s="3">
        <v>286</v>
      </c>
    </row>
    <row r="12" spans="1:13" ht="14.25" x14ac:dyDescent="0.2">
      <c r="A12" t="s">
        <v>53</v>
      </c>
      <c r="B12" t="s">
        <v>54</v>
      </c>
      <c r="C12" t="s">
        <v>19</v>
      </c>
      <c r="D12" t="s">
        <v>36</v>
      </c>
      <c r="E12" t="s">
        <v>37</v>
      </c>
      <c r="F12" t="s">
        <v>52</v>
      </c>
      <c r="G12" t="s">
        <v>16</v>
      </c>
      <c r="H12">
        <v>4</v>
      </c>
      <c r="I12" s="3">
        <v>1891</v>
      </c>
      <c r="J12" s="3">
        <v>340.38</v>
      </c>
    </row>
    <row r="13" spans="1:13" ht="14.25" x14ac:dyDescent="0.2">
      <c r="A13" t="s">
        <v>55</v>
      </c>
      <c r="B13" t="s">
        <v>56</v>
      </c>
      <c r="C13" t="s">
        <v>19</v>
      </c>
      <c r="D13" t="s">
        <v>13</v>
      </c>
      <c r="E13" t="s">
        <v>14</v>
      </c>
      <c r="F13" t="s">
        <v>32</v>
      </c>
      <c r="G13" t="s">
        <v>44</v>
      </c>
      <c r="H13">
        <v>4</v>
      </c>
      <c r="I13" s="3">
        <v>2996</v>
      </c>
      <c r="J13" s="3">
        <v>449.4</v>
      </c>
    </row>
    <row r="14" spans="1:13" ht="14.25" x14ac:dyDescent="0.2">
      <c r="A14" t="s">
        <v>57</v>
      </c>
      <c r="B14" t="s">
        <v>58</v>
      </c>
      <c r="C14" t="s">
        <v>30</v>
      </c>
      <c r="D14" t="s">
        <v>36</v>
      </c>
      <c r="E14" t="s">
        <v>59</v>
      </c>
      <c r="F14" t="s">
        <v>27</v>
      </c>
      <c r="G14" t="s">
        <v>16</v>
      </c>
      <c r="H14">
        <v>1</v>
      </c>
      <c r="I14" s="3">
        <v>831</v>
      </c>
      <c r="J14" s="3">
        <v>191.13</v>
      </c>
    </row>
    <row r="15" spans="1:13" ht="14.25" x14ac:dyDescent="0.2">
      <c r="A15" t="s">
        <v>60</v>
      </c>
      <c r="B15" t="s">
        <v>61</v>
      </c>
      <c r="C15" t="s">
        <v>62</v>
      </c>
      <c r="D15" t="s">
        <v>20</v>
      </c>
      <c r="E15" t="s">
        <v>26</v>
      </c>
      <c r="F15" t="s">
        <v>131</v>
      </c>
      <c r="G15" t="s">
        <v>16</v>
      </c>
      <c r="H15">
        <v>10</v>
      </c>
      <c r="I15" s="3">
        <v>2846</v>
      </c>
      <c r="J15" s="3">
        <v>512.28</v>
      </c>
    </row>
    <row r="16" spans="1:13" ht="14.25" x14ac:dyDescent="0.2">
      <c r="A16" t="s">
        <v>63</v>
      </c>
      <c r="B16" t="s">
        <v>64</v>
      </c>
      <c r="C16" t="s">
        <v>19</v>
      </c>
      <c r="D16" t="s">
        <v>31</v>
      </c>
      <c r="E16" t="s">
        <v>65</v>
      </c>
      <c r="F16" t="s">
        <v>52</v>
      </c>
      <c r="G16" t="s">
        <v>16</v>
      </c>
      <c r="H16">
        <v>8</v>
      </c>
      <c r="I16" s="3">
        <v>2888</v>
      </c>
      <c r="J16" s="3">
        <v>462.08</v>
      </c>
    </row>
    <row r="17" spans="1:10" ht="14.25" x14ac:dyDescent="0.2">
      <c r="A17" t="s">
        <v>66</v>
      </c>
      <c r="B17" t="s">
        <v>67</v>
      </c>
      <c r="C17" t="s">
        <v>30</v>
      </c>
      <c r="D17" t="s">
        <v>25</v>
      </c>
      <c r="E17" t="s">
        <v>26</v>
      </c>
      <c r="F17" t="s">
        <v>52</v>
      </c>
      <c r="G17" t="s">
        <v>44</v>
      </c>
      <c r="H17">
        <v>1</v>
      </c>
      <c r="I17" s="3">
        <v>2669</v>
      </c>
      <c r="J17" s="3">
        <v>133.44999999999999</v>
      </c>
    </row>
    <row r="18" spans="1:10" ht="14.25" x14ac:dyDescent="0.2">
      <c r="A18" t="s">
        <v>68</v>
      </c>
      <c r="B18" t="s">
        <v>69</v>
      </c>
      <c r="C18" t="s">
        <v>19</v>
      </c>
      <c r="D18" t="s">
        <v>20</v>
      </c>
      <c r="E18" t="s">
        <v>70</v>
      </c>
      <c r="F18" t="s">
        <v>38</v>
      </c>
      <c r="G18" t="s">
        <v>33</v>
      </c>
      <c r="H18">
        <v>3</v>
      </c>
      <c r="I18" s="3">
        <v>734</v>
      </c>
      <c r="J18" s="3">
        <v>183.5</v>
      </c>
    </row>
    <row r="19" spans="1:10" ht="14.25" x14ac:dyDescent="0.2">
      <c r="A19" t="s">
        <v>71</v>
      </c>
      <c r="B19" t="s">
        <v>49</v>
      </c>
      <c r="C19" t="s">
        <v>30</v>
      </c>
      <c r="D19" t="s">
        <v>36</v>
      </c>
      <c r="E19" t="s">
        <v>47</v>
      </c>
      <c r="F19" t="s">
        <v>22</v>
      </c>
      <c r="G19" t="s">
        <v>16</v>
      </c>
      <c r="H19">
        <v>8</v>
      </c>
      <c r="I19" s="3">
        <v>1512</v>
      </c>
      <c r="J19" s="3">
        <v>105.84</v>
      </c>
    </row>
    <row r="20" spans="1:10" ht="14.25" x14ac:dyDescent="0.2">
      <c r="A20" t="s">
        <v>72</v>
      </c>
      <c r="B20" t="s">
        <v>73</v>
      </c>
      <c r="C20" t="s">
        <v>12</v>
      </c>
      <c r="D20" t="s">
        <v>36</v>
      </c>
      <c r="E20" t="s">
        <v>70</v>
      </c>
      <c r="F20" t="s">
        <v>27</v>
      </c>
      <c r="G20" t="s">
        <v>44</v>
      </c>
      <c r="H20">
        <v>5</v>
      </c>
      <c r="I20" s="3">
        <v>144</v>
      </c>
      <c r="J20" s="3">
        <v>14.4</v>
      </c>
    </row>
    <row r="21" spans="1:10" ht="14.25" x14ac:dyDescent="0.2">
      <c r="A21" t="s">
        <v>74</v>
      </c>
      <c r="B21" t="s">
        <v>75</v>
      </c>
      <c r="C21" t="s">
        <v>12</v>
      </c>
      <c r="D21" t="s">
        <v>25</v>
      </c>
      <c r="E21" t="s">
        <v>59</v>
      </c>
      <c r="F21" t="s">
        <v>38</v>
      </c>
      <c r="G21" t="s">
        <v>16</v>
      </c>
      <c r="H21">
        <v>10</v>
      </c>
      <c r="I21" s="3">
        <v>2460</v>
      </c>
      <c r="J21" s="3">
        <v>516.6</v>
      </c>
    </row>
    <row r="22" spans="1:10" ht="14.25" x14ac:dyDescent="0.2">
      <c r="A22" t="s">
        <v>76</v>
      </c>
      <c r="B22" t="s">
        <v>73</v>
      </c>
      <c r="C22" t="s">
        <v>12</v>
      </c>
      <c r="D22" t="s">
        <v>25</v>
      </c>
      <c r="E22" t="s">
        <v>65</v>
      </c>
      <c r="F22" t="s">
        <v>32</v>
      </c>
      <c r="G22" t="s">
        <v>16</v>
      </c>
      <c r="H22">
        <v>4</v>
      </c>
      <c r="I22" s="3">
        <v>2658</v>
      </c>
      <c r="J22" s="3">
        <v>558.17999999999995</v>
      </c>
    </row>
    <row r="23" spans="1:10" ht="14.25" x14ac:dyDescent="0.2">
      <c r="A23" t="s">
        <v>77</v>
      </c>
      <c r="B23" t="s">
        <v>78</v>
      </c>
      <c r="C23" t="s">
        <v>62</v>
      </c>
      <c r="D23" t="s">
        <v>25</v>
      </c>
      <c r="E23" t="s">
        <v>43</v>
      </c>
      <c r="F23" t="s">
        <v>27</v>
      </c>
      <c r="G23" t="s">
        <v>33</v>
      </c>
      <c r="H23">
        <v>2</v>
      </c>
      <c r="I23" s="3">
        <v>2163</v>
      </c>
      <c r="J23" s="3">
        <v>475.86</v>
      </c>
    </row>
    <row r="24" spans="1:10" ht="14.25" x14ac:dyDescent="0.2">
      <c r="A24" t="s">
        <v>79</v>
      </c>
      <c r="B24" t="s">
        <v>80</v>
      </c>
      <c r="C24" t="s">
        <v>62</v>
      </c>
      <c r="D24" t="s">
        <v>20</v>
      </c>
      <c r="E24" t="s">
        <v>65</v>
      </c>
      <c r="F24" t="s">
        <v>27</v>
      </c>
      <c r="G24" t="s">
        <v>44</v>
      </c>
      <c r="H24">
        <v>2</v>
      </c>
      <c r="I24" s="3">
        <v>2155</v>
      </c>
      <c r="J24" s="3">
        <v>538.75</v>
      </c>
    </row>
    <row r="25" spans="1:10" ht="14.25" x14ac:dyDescent="0.2">
      <c r="A25" t="s">
        <v>81</v>
      </c>
      <c r="B25" t="s">
        <v>82</v>
      </c>
      <c r="C25" t="s">
        <v>62</v>
      </c>
      <c r="D25" t="s">
        <v>25</v>
      </c>
      <c r="E25" t="s">
        <v>21</v>
      </c>
      <c r="F25" t="s">
        <v>38</v>
      </c>
      <c r="G25" t="s">
        <v>44</v>
      </c>
      <c r="H25">
        <v>4</v>
      </c>
      <c r="I25" s="3">
        <v>0</v>
      </c>
      <c r="J25" s="3">
        <v>191.73</v>
      </c>
    </row>
    <row r="26" spans="1:10" ht="14.25" x14ac:dyDescent="0.2">
      <c r="A26" t="s">
        <v>83</v>
      </c>
      <c r="B26" t="s">
        <v>84</v>
      </c>
      <c r="C26" t="s">
        <v>12</v>
      </c>
      <c r="D26" t="s">
        <v>13</v>
      </c>
      <c r="E26" t="s">
        <v>85</v>
      </c>
      <c r="F26" t="s">
        <v>22</v>
      </c>
      <c r="G26" t="s">
        <v>16</v>
      </c>
      <c r="H26">
        <v>10</v>
      </c>
      <c r="I26" s="3">
        <v>2302</v>
      </c>
      <c r="J26" s="3">
        <v>460.4</v>
      </c>
    </row>
    <row r="27" spans="1:10" ht="14.25" x14ac:dyDescent="0.2">
      <c r="A27" t="s">
        <v>86</v>
      </c>
      <c r="B27" t="s">
        <v>87</v>
      </c>
      <c r="C27" t="s">
        <v>12</v>
      </c>
      <c r="D27" t="s">
        <v>31</v>
      </c>
      <c r="E27" t="s">
        <v>65</v>
      </c>
      <c r="F27" t="s">
        <v>22</v>
      </c>
      <c r="G27" t="s">
        <v>44</v>
      </c>
      <c r="H27">
        <v>3</v>
      </c>
      <c r="I27" s="3">
        <v>2868</v>
      </c>
      <c r="J27" s="3">
        <v>630.96</v>
      </c>
    </row>
    <row r="28" spans="1:10" ht="14.25" x14ac:dyDescent="0.2">
      <c r="A28" t="s">
        <v>88</v>
      </c>
      <c r="B28" t="s">
        <v>89</v>
      </c>
      <c r="C28" t="s">
        <v>12</v>
      </c>
      <c r="D28" t="s">
        <v>31</v>
      </c>
      <c r="E28" t="s">
        <v>85</v>
      </c>
      <c r="F28" t="s">
        <v>22</v>
      </c>
      <c r="G28" t="s">
        <v>44</v>
      </c>
      <c r="H28">
        <v>3</v>
      </c>
      <c r="I28" s="3">
        <v>2723</v>
      </c>
      <c r="J28" s="3">
        <v>435.68</v>
      </c>
    </row>
    <row r="29" spans="1:10" ht="14.25" x14ac:dyDescent="0.2">
      <c r="A29" t="s">
        <v>90</v>
      </c>
      <c r="B29" t="s">
        <v>91</v>
      </c>
      <c r="C29" t="s">
        <v>62</v>
      </c>
      <c r="D29" t="s">
        <v>25</v>
      </c>
      <c r="E29" t="s">
        <v>65</v>
      </c>
      <c r="F29" t="s">
        <v>38</v>
      </c>
      <c r="G29" t="s">
        <v>16</v>
      </c>
      <c r="H29">
        <v>8</v>
      </c>
      <c r="I29" s="3">
        <v>780</v>
      </c>
      <c r="J29" s="3">
        <v>101.4</v>
      </c>
    </row>
    <row r="30" spans="1:10" ht="14.25" x14ac:dyDescent="0.2">
      <c r="A30" t="s">
        <v>92</v>
      </c>
      <c r="B30" t="s">
        <v>93</v>
      </c>
      <c r="C30" t="s">
        <v>62</v>
      </c>
      <c r="D30" t="s">
        <v>25</v>
      </c>
      <c r="E30" t="s">
        <v>47</v>
      </c>
      <c r="F30" t="s">
        <v>27</v>
      </c>
      <c r="G30" t="s">
        <v>33</v>
      </c>
      <c r="H30">
        <v>6</v>
      </c>
      <c r="I30" s="3">
        <v>1266</v>
      </c>
      <c r="J30" s="3">
        <v>0</v>
      </c>
    </row>
    <row r="31" spans="1:10" ht="14.25" x14ac:dyDescent="0.2">
      <c r="A31" t="s">
        <v>94</v>
      </c>
      <c r="B31" t="s">
        <v>95</v>
      </c>
      <c r="C31" t="s">
        <v>19</v>
      </c>
      <c r="D31" t="s">
        <v>20</v>
      </c>
      <c r="E31" t="s">
        <v>65</v>
      </c>
      <c r="F31" t="s">
        <v>38</v>
      </c>
      <c r="G31" t="s">
        <v>33</v>
      </c>
      <c r="H31">
        <v>4</v>
      </c>
      <c r="I31" s="3">
        <v>2835</v>
      </c>
      <c r="J31" s="3">
        <v>283.5</v>
      </c>
    </row>
    <row r="32" spans="1:10" ht="14.25" x14ac:dyDescent="0.2">
      <c r="A32" t="s">
        <v>96</v>
      </c>
      <c r="B32" t="s">
        <v>35</v>
      </c>
      <c r="C32" t="s">
        <v>12</v>
      </c>
      <c r="D32" t="s">
        <v>31</v>
      </c>
      <c r="E32" t="s">
        <v>14</v>
      </c>
      <c r="F32" t="s">
        <v>27</v>
      </c>
      <c r="G32" t="s">
        <v>44</v>
      </c>
      <c r="H32">
        <v>5</v>
      </c>
      <c r="I32" s="3">
        <v>1162</v>
      </c>
      <c r="J32" s="3">
        <v>127.82</v>
      </c>
    </row>
    <row r="33" spans="1:10" ht="14.25" x14ac:dyDescent="0.2">
      <c r="A33" t="s">
        <v>97</v>
      </c>
      <c r="B33" t="s">
        <v>98</v>
      </c>
      <c r="C33" t="s">
        <v>19</v>
      </c>
      <c r="D33" t="s">
        <v>13</v>
      </c>
      <c r="E33" t="s">
        <v>59</v>
      </c>
      <c r="F33" t="s">
        <v>22</v>
      </c>
      <c r="G33" t="s">
        <v>33</v>
      </c>
      <c r="H33">
        <v>2</v>
      </c>
      <c r="I33" s="3">
        <v>2963</v>
      </c>
      <c r="J33" s="3">
        <v>533.34</v>
      </c>
    </row>
    <row r="34" spans="1:10" ht="14.25" x14ac:dyDescent="0.2">
      <c r="A34" t="s">
        <v>99</v>
      </c>
      <c r="B34" t="s">
        <v>100</v>
      </c>
      <c r="C34" t="s">
        <v>30</v>
      </c>
      <c r="D34" t="s">
        <v>13</v>
      </c>
      <c r="E34" t="s">
        <v>14</v>
      </c>
      <c r="F34" t="s">
        <v>32</v>
      </c>
      <c r="G34" t="s">
        <v>33</v>
      </c>
      <c r="H34">
        <v>2</v>
      </c>
      <c r="I34" s="3">
        <v>2435</v>
      </c>
      <c r="J34" s="3">
        <v>560.04999999999995</v>
      </c>
    </row>
    <row r="35" spans="1:10" ht="14.25" x14ac:dyDescent="0.2">
      <c r="A35" t="s">
        <v>101</v>
      </c>
      <c r="B35" t="s">
        <v>102</v>
      </c>
      <c r="C35" t="s">
        <v>30</v>
      </c>
      <c r="D35" t="s">
        <v>31</v>
      </c>
      <c r="E35" t="s">
        <v>65</v>
      </c>
      <c r="F35" t="s">
        <v>22</v>
      </c>
      <c r="G35" t="s">
        <v>16</v>
      </c>
      <c r="H35">
        <v>8</v>
      </c>
      <c r="I35" s="3">
        <v>1002</v>
      </c>
      <c r="J35" s="3">
        <v>220.44</v>
      </c>
    </row>
    <row r="36" spans="1:10" ht="14.25" x14ac:dyDescent="0.2">
      <c r="A36" t="s">
        <v>103</v>
      </c>
      <c r="B36" t="s">
        <v>104</v>
      </c>
      <c r="C36" t="s">
        <v>30</v>
      </c>
      <c r="D36" t="s">
        <v>36</v>
      </c>
      <c r="E36" t="s">
        <v>65</v>
      </c>
      <c r="F36" t="s">
        <v>38</v>
      </c>
      <c r="G36" t="s">
        <v>44</v>
      </c>
      <c r="H36">
        <v>6</v>
      </c>
      <c r="I36" s="3">
        <v>2840</v>
      </c>
      <c r="J36" s="3">
        <v>170.4</v>
      </c>
    </row>
    <row r="37" spans="1:10" ht="14.25" x14ac:dyDescent="0.2">
      <c r="A37" t="s">
        <v>105</v>
      </c>
      <c r="B37" t="s">
        <v>106</v>
      </c>
      <c r="C37" t="s">
        <v>62</v>
      </c>
      <c r="D37" t="s">
        <v>20</v>
      </c>
      <c r="E37" t="s">
        <v>14</v>
      </c>
      <c r="F37" t="s">
        <v>27</v>
      </c>
      <c r="G37" t="s">
        <v>33</v>
      </c>
      <c r="H37">
        <v>5</v>
      </c>
      <c r="I37" s="3">
        <v>1990</v>
      </c>
      <c r="J37" s="3">
        <v>417.9</v>
      </c>
    </row>
    <row r="38" spans="1:10" ht="14.25" x14ac:dyDescent="0.2">
      <c r="A38" t="s">
        <v>107</v>
      </c>
      <c r="B38" t="s">
        <v>108</v>
      </c>
      <c r="C38" t="s">
        <v>19</v>
      </c>
      <c r="D38" t="s">
        <v>25</v>
      </c>
      <c r="E38" t="s">
        <v>26</v>
      </c>
      <c r="F38" t="s">
        <v>22</v>
      </c>
      <c r="G38" t="s">
        <v>44</v>
      </c>
      <c r="H38">
        <v>7</v>
      </c>
      <c r="I38" s="3">
        <v>1357</v>
      </c>
      <c r="J38" s="3">
        <v>122.13</v>
      </c>
    </row>
    <row r="39" spans="1:10" ht="14.25" x14ac:dyDescent="0.2">
      <c r="A39" t="s">
        <v>109</v>
      </c>
      <c r="B39" t="s">
        <v>110</v>
      </c>
      <c r="C39" t="s">
        <v>12</v>
      </c>
      <c r="D39" t="s">
        <v>20</v>
      </c>
      <c r="E39" t="s">
        <v>85</v>
      </c>
      <c r="F39" t="s">
        <v>32</v>
      </c>
      <c r="G39" t="s">
        <v>44</v>
      </c>
      <c r="H39">
        <v>6</v>
      </c>
      <c r="I39" s="3">
        <v>2907</v>
      </c>
      <c r="J39" s="3">
        <v>348.84</v>
      </c>
    </row>
    <row r="40" spans="1:10" ht="14.25" x14ac:dyDescent="0.2">
      <c r="A40" t="s">
        <v>111</v>
      </c>
      <c r="B40" t="s">
        <v>112</v>
      </c>
      <c r="C40" t="s">
        <v>19</v>
      </c>
      <c r="D40" t="s">
        <v>13</v>
      </c>
      <c r="E40" t="s">
        <v>14</v>
      </c>
      <c r="F40" t="s">
        <v>22</v>
      </c>
      <c r="G40" t="s">
        <v>16</v>
      </c>
      <c r="H40">
        <v>9</v>
      </c>
      <c r="I40" s="3">
        <v>1655</v>
      </c>
      <c r="J40" s="3">
        <v>347.55</v>
      </c>
    </row>
    <row r="41" spans="1:10" ht="14.25" x14ac:dyDescent="0.2">
      <c r="A41" t="s">
        <v>113</v>
      </c>
      <c r="B41" t="s">
        <v>11</v>
      </c>
      <c r="C41" t="s">
        <v>30</v>
      </c>
      <c r="D41" t="s">
        <v>20</v>
      </c>
      <c r="E41" t="s">
        <v>59</v>
      </c>
      <c r="F41" t="s">
        <v>27</v>
      </c>
      <c r="G41" t="s">
        <v>33</v>
      </c>
      <c r="H41">
        <v>1</v>
      </c>
      <c r="I41" s="3">
        <v>1860</v>
      </c>
      <c r="J41" s="3">
        <v>167.4</v>
      </c>
    </row>
    <row r="42" spans="1:10" ht="14.25" x14ac:dyDescent="0.2">
      <c r="A42" t="s">
        <v>114</v>
      </c>
      <c r="B42" t="s">
        <v>115</v>
      </c>
      <c r="C42" t="s">
        <v>12</v>
      </c>
      <c r="D42" t="s">
        <v>36</v>
      </c>
      <c r="E42" t="s">
        <v>59</v>
      </c>
      <c r="F42" t="s">
        <v>27</v>
      </c>
      <c r="G42" t="s">
        <v>16</v>
      </c>
      <c r="H42">
        <v>8</v>
      </c>
      <c r="I42" s="3">
        <v>954</v>
      </c>
      <c r="J42" s="3">
        <v>104.94</v>
      </c>
    </row>
    <row r="43" spans="1:10" ht="14.25" x14ac:dyDescent="0.2">
      <c r="A43" t="s">
        <v>116</v>
      </c>
      <c r="B43" t="s">
        <v>117</v>
      </c>
      <c r="C43" t="s">
        <v>62</v>
      </c>
      <c r="D43" t="s">
        <v>13</v>
      </c>
      <c r="E43" t="s">
        <v>85</v>
      </c>
      <c r="F43" t="s">
        <v>22</v>
      </c>
      <c r="G43" t="s">
        <v>33</v>
      </c>
      <c r="H43">
        <v>9</v>
      </c>
      <c r="I43" s="3">
        <v>786</v>
      </c>
      <c r="J43" s="3">
        <v>188.64</v>
      </c>
    </row>
    <row r="44" spans="1:10" ht="14.25" x14ac:dyDescent="0.2">
      <c r="A44" t="s">
        <v>118</v>
      </c>
      <c r="B44" t="s">
        <v>119</v>
      </c>
      <c r="C44" t="s">
        <v>12</v>
      </c>
      <c r="D44" t="s">
        <v>25</v>
      </c>
      <c r="E44" t="s">
        <v>43</v>
      </c>
      <c r="F44" t="s">
        <v>38</v>
      </c>
      <c r="G44" t="s">
        <v>33</v>
      </c>
      <c r="H44">
        <v>1</v>
      </c>
      <c r="I44" s="3">
        <v>2365</v>
      </c>
      <c r="J44" s="3">
        <v>520.29999999999995</v>
      </c>
    </row>
    <row r="45" spans="1:10" ht="14.25" x14ac:dyDescent="0.2">
      <c r="A45" t="s">
        <v>120</v>
      </c>
      <c r="B45" t="s">
        <v>98</v>
      </c>
      <c r="C45" t="s">
        <v>12</v>
      </c>
      <c r="D45" t="s">
        <v>20</v>
      </c>
      <c r="E45" t="s">
        <v>14</v>
      </c>
      <c r="F45" t="s">
        <v>38</v>
      </c>
      <c r="G45" t="s">
        <v>16</v>
      </c>
      <c r="H45">
        <v>4</v>
      </c>
      <c r="I45" s="3">
        <v>1810</v>
      </c>
      <c r="J45" s="3">
        <v>343.9</v>
      </c>
    </row>
    <row r="46" spans="1:10" ht="14.25" x14ac:dyDescent="0.2">
      <c r="A46" t="s">
        <v>121</v>
      </c>
      <c r="B46" t="s">
        <v>122</v>
      </c>
      <c r="C46" t="s">
        <v>19</v>
      </c>
      <c r="D46" t="s">
        <v>13</v>
      </c>
      <c r="E46" t="s">
        <v>37</v>
      </c>
      <c r="F46" t="s">
        <v>38</v>
      </c>
      <c r="G46" t="s">
        <v>44</v>
      </c>
      <c r="H46">
        <v>10</v>
      </c>
      <c r="I46" s="3">
        <v>977</v>
      </c>
      <c r="J46" s="3">
        <v>48.85</v>
      </c>
    </row>
    <row r="47" spans="1:10" ht="14.25" x14ac:dyDescent="0.2">
      <c r="A47" t="s">
        <v>123</v>
      </c>
      <c r="B47" t="s">
        <v>112</v>
      </c>
      <c r="C47" t="s">
        <v>30</v>
      </c>
      <c r="D47" t="s">
        <v>13</v>
      </c>
      <c r="E47" t="s">
        <v>37</v>
      </c>
      <c r="F47" t="s">
        <v>32</v>
      </c>
      <c r="G47" t="s">
        <v>16</v>
      </c>
      <c r="H47">
        <v>5</v>
      </c>
      <c r="I47" s="3">
        <v>1542</v>
      </c>
      <c r="J47" s="3">
        <v>370.08</v>
      </c>
    </row>
    <row r="48" spans="1:10" ht="14.25" x14ac:dyDescent="0.2">
      <c r="A48" t="s">
        <v>124</v>
      </c>
      <c r="B48" t="s">
        <v>18</v>
      </c>
      <c r="C48" t="s">
        <v>12</v>
      </c>
      <c r="D48" t="s">
        <v>20</v>
      </c>
      <c r="E48" t="s">
        <v>70</v>
      </c>
      <c r="F48" t="s">
        <v>52</v>
      </c>
      <c r="G48" t="s">
        <v>44</v>
      </c>
      <c r="H48">
        <v>1</v>
      </c>
      <c r="I48" s="3">
        <v>1160</v>
      </c>
      <c r="J48" s="3">
        <v>208.8</v>
      </c>
    </row>
    <row r="49" spans="1:10" ht="14.25" x14ac:dyDescent="0.2">
      <c r="A49" t="s">
        <v>125</v>
      </c>
      <c r="B49" t="s">
        <v>126</v>
      </c>
      <c r="C49" t="s">
        <v>62</v>
      </c>
      <c r="D49" t="s">
        <v>25</v>
      </c>
      <c r="E49" t="s">
        <v>47</v>
      </c>
      <c r="F49" t="s">
        <v>27</v>
      </c>
      <c r="G49" t="s">
        <v>16</v>
      </c>
      <c r="H49">
        <v>9</v>
      </c>
      <c r="I49" s="3">
        <v>2833</v>
      </c>
      <c r="J49" s="3">
        <v>481.61</v>
      </c>
    </row>
    <row r="50" spans="1:10" ht="14.25" x14ac:dyDescent="0.2">
      <c r="A50" t="s">
        <v>127</v>
      </c>
      <c r="B50" t="s">
        <v>42</v>
      </c>
      <c r="C50" t="s">
        <v>62</v>
      </c>
      <c r="D50" t="s">
        <v>20</v>
      </c>
      <c r="E50" t="s">
        <v>47</v>
      </c>
      <c r="F50" t="s">
        <v>27</v>
      </c>
      <c r="G50" t="s">
        <v>16</v>
      </c>
      <c r="H50">
        <v>2</v>
      </c>
      <c r="I50" s="3">
        <v>734</v>
      </c>
      <c r="J50" s="3">
        <v>110.1</v>
      </c>
    </row>
    <row r="51" spans="1:10" ht="14.25" x14ac:dyDescent="0.2">
      <c r="A51" t="s">
        <v>128</v>
      </c>
      <c r="B51" t="s">
        <v>129</v>
      </c>
      <c r="C51" t="s">
        <v>19</v>
      </c>
      <c r="D51" t="s">
        <v>36</v>
      </c>
      <c r="E51" t="s">
        <v>37</v>
      </c>
      <c r="F51" t="s">
        <v>52</v>
      </c>
      <c r="G51" t="s">
        <v>33</v>
      </c>
      <c r="H51">
        <v>10</v>
      </c>
      <c r="I51" s="3">
        <v>2704</v>
      </c>
      <c r="J51" s="3">
        <v>189.28</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Pivot_Analysis</vt:lpstr>
      <vt:lpstr>Dashboard</vt:lpstr>
      <vt:lpstr>Sales_Data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Glenda Kelly</cp:lastModifiedBy>
  <dcterms:created xsi:type="dcterms:W3CDTF">2026-05-26T09:16:26Z</dcterms:created>
  <dcterms:modified xsi:type="dcterms:W3CDTF">2026-06-02T00:51:15Z</dcterms:modified>
</cp:coreProperties>
</file>